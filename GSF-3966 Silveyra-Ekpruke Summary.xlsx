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err\Documents\GSF-3966 Silveyra Dami\"/>
    </mc:Choice>
  </mc:AlternateContent>
  <xr:revisionPtr revIDLastSave="0" documentId="8_{6BF9678A-1180-4915-899F-3931D0359521}" xr6:coauthVersionLast="47" xr6:coauthVersionMax="47" xr10:uidLastSave="{00000000-0000-0000-0000-000000000000}"/>
  <bookViews>
    <workbookView xWindow="-108" yWindow="-108" windowWidth="23256" windowHeight="14016" xr2:uid="{64CF3894-FD97-461F-B6A8-3B1288B7F24B}"/>
  </bookViews>
  <sheets>
    <sheet name="rum1" sheetId="1" r:id="rId1"/>
    <sheet name="run2" sheetId="2" r:id="rId2"/>
    <sheet name="Tot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1" l="1"/>
  <c r="C78" i="3"/>
  <c r="E78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6" i="3"/>
  <c r="D78" i="3"/>
  <c r="C85" i="2"/>
</calcChain>
</file>

<file path=xl/sharedStrings.xml><?xml version="1.0" encoding="utf-8"?>
<sst xmlns="http://schemas.openxmlformats.org/spreadsheetml/2006/main" count="561" uniqueCount="190">
  <si>
    <t>Flowcell Summary</t>
  </si>
  <si>
    <t>Clusters (Raw)</t>
  </si>
  <si>
    <t>Clusters(PF)</t>
  </si>
  <si>
    <t>Yield (MBases)</t>
  </si>
  <si>
    <t>Lane Summary</t>
  </si>
  <si>
    <t>Lane</t>
  </si>
  <si>
    <t>Sample</t>
  </si>
  <si>
    <t>Barcode sequence</t>
  </si>
  <si>
    <t>PF Clusters</t>
  </si>
  <si>
    <t>% of the</t>
  </si>
  <si>
    <t>lane</t>
  </si>
  <si>
    <t>% Perfect</t>
  </si>
  <si>
    <t>barcode</t>
  </si>
  <si>
    <t>% One mismatch</t>
  </si>
  <si>
    <t>Yield (Mbases)</t>
  </si>
  <si>
    <t>% PF</t>
  </si>
  <si>
    <t>Clusters</t>
  </si>
  <si>
    <t>% &gt;= Q30</t>
  </si>
  <si>
    <t>bases</t>
  </si>
  <si>
    <t>Mean Quality</t>
  </si>
  <si>
    <t>Score</t>
  </si>
  <si>
    <t>GSF3966-2012</t>
  </si>
  <si>
    <t>GAGAATGGTT+TTGCTGCCGA</t>
  </si>
  <si>
    <t>GSF3966-2013</t>
  </si>
  <si>
    <t>GAACTGAGCG+CGCTCCACGA</t>
  </si>
  <si>
    <t>GSF3966-2014</t>
  </si>
  <si>
    <t>AACCATAGAA+CCATCTCGCC</t>
  </si>
  <si>
    <t>GSF3966-2015</t>
  </si>
  <si>
    <t>GACTGAGTAG+CACTATCAAC</t>
  </si>
  <si>
    <t>GSF3966-2131</t>
  </si>
  <si>
    <t>TGATTATACG+TGTAATCGAC</t>
  </si>
  <si>
    <t>GSF3966-2132</t>
  </si>
  <si>
    <t>ACTCGGCAAT+TTCAGTTGTC</t>
  </si>
  <si>
    <t>GSF3966-2133</t>
  </si>
  <si>
    <t>AGTGTTGCAC+CGTGTACCAG</t>
  </si>
  <si>
    <t>GSF3966-2135</t>
  </si>
  <si>
    <t>TCTATCCTAA+CCAGTCGACG</t>
  </si>
  <si>
    <t>GSF3966-2137</t>
  </si>
  <si>
    <t>TAATGTGTCT+TATGCCTTAC</t>
  </si>
  <si>
    <t>GSF3966-2148</t>
  </si>
  <si>
    <t>TTCTACATAC+TTACAGTTAG</t>
  </si>
  <si>
    <t>GSF3966-2149</t>
  </si>
  <si>
    <t>GATCAAGGCA+ATTAACAAGG</t>
  </si>
  <si>
    <t>GSF3966-2163</t>
  </si>
  <si>
    <t>CTAGTGCTCT+TACTGTTCCA</t>
  </si>
  <si>
    <t>GSF3966-2167</t>
  </si>
  <si>
    <t>AGGTCAGATA+TATCTTGTAG</t>
  </si>
  <si>
    <t>GSF3966-2168</t>
  </si>
  <si>
    <t>AGTCAGACGA+TGTCGCTGGT</t>
  </si>
  <si>
    <t>GSF3966-2192</t>
  </si>
  <si>
    <t>AGAGGCAACC+CCATCATTAG</t>
  </si>
  <si>
    <t>GSF3966-2195</t>
  </si>
  <si>
    <t>GGTTGCGAGG+TTGCTCTATT</t>
  </si>
  <si>
    <t>GSF3966-2196</t>
  </si>
  <si>
    <t>CAGCCGCGTA+CACGGCTAGT</t>
  </si>
  <si>
    <t>GSF3966-2198</t>
  </si>
  <si>
    <t>GTCTAATGGC+CCTGACCACT</t>
  </si>
  <si>
    <t>GSF3966-2224</t>
  </si>
  <si>
    <t>GACACCATGT+TACACGTTGA</t>
  </si>
  <si>
    <t>GSF3966-2241</t>
  </si>
  <si>
    <t>CTCGCTTCGG+TTGACTAGTA</t>
  </si>
  <si>
    <t>GSF3966-2242</t>
  </si>
  <si>
    <t>ATACCAACGC+CGCAGCAATT</t>
  </si>
  <si>
    <t>GSF3966-2243</t>
  </si>
  <si>
    <t>ACAGTGTATG+CCGTATGTTC</t>
  </si>
  <si>
    <t>GSF3966-2244</t>
  </si>
  <si>
    <t>CGGTTACGGC+CTATAGTCTT</t>
  </si>
  <si>
    <t>GSF3966-2245</t>
  </si>
  <si>
    <t>TCCATTGCCG+TCGTGCATTC</t>
  </si>
  <si>
    <t>GSF3966-2249</t>
  </si>
  <si>
    <t>CGACATCCGA+AATGAACGTA</t>
  </si>
  <si>
    <t>GSF3966-2254</t>
  </si>
  <si>
    <t>CCGTATGTTC+ACAGTGTATG</t>
  </si>
  <si>
    <t>GSF3966-2257</t>
  </si>
  <si>
    <t>CCATCATTAG+AGAGGCAACC</t>
  </si>
  <si>
    <t>GSF3966-2259</t>
  </si>
  <si>
    <t>TAAGCATCCA+AATGGATTGA</t>
  </si>
  <si>
    <t>GSF3966-2295</t>
  </si>
  <si>
    <t>GGTAACTCGC+TCACCAACTT</t>
  </si>
  <si>
    <t>GSF3966-2296</t>
  </si>
  <si>
    <t>CCATCTCGCC+AACCATAGAA</t>
  </si>
  <si>
    <t>GSF3966-2297</t>
  </si>
  <si>
    <t>CCTGTCTGTC+TCACAACAGT</t>
  </si>
  <si>
    <t>GSF3966-2298</t>
  </si>
  <si>
    <t>CTGTTGGTCC+AACGGTCTAT</t>
  </si>
  <si>
    <t>GSF3966-2299</t>
  </si>
  <si>
    <t>AGGATGTGCT+GGAATTGTAA</t>
  </si>
  <si>
    <t>GSF3966-2306</t>
  </si>
  <si>
    <t>TATGTAGTCA+CATTAGTGCG</t>
  </si>
  <si>
    <t>GSF3966-2308</t>
  </si>
  <si>
    <t>TAGCATAACC+TGCGCATAGC</t>
  </si>
  <si>
    <t>GSF3966-2311</t>
  </si>
  <si>
    <t>ACGCCTTGTT+ACGTTCCTTA</t>
  </si>
  <si>
    <t>GSF3966-2312</t>
  </si>
  <si>
    <t>ATTCCATAAG+CCACCAGGCA</t>
  </si>
  <si>
    <t>GSF3966-2317</t>
  </si>
  <si>
    <t>GAGTCATAGG+AGCGCCACAC</t>
  </si>
  <si>
    <t>GSF3966-2320</t>
  </si>
  <si>
    <t>GATAGGCCGA+GCCATGTGCG</t>
  </si>
  <si>
    <t>GSF3966-2332</t>
  </si>
  <si>
    <t>ACCACGACAT+CCGCATACGA</t>
  </si>
  <si>
    <t>GSF3966-2382</t>
  </si>
  <si>
    <t>ACCGGCCGTA+AATATTGCCA</t>
  </si>
  <si>
    <t>GSF3966-2383</t>
  </si>
  <si>
    <t>CTGCGAGCCA+TGGCCGGATT</t>
  </si>
  <si>
    <t>GSF3966-2385</t>
  </si>
  <si>
    <t>TGATGTAAGA+AAGGACGCAC</t>
  </si>
  <si>
    <t>GSF3966-2387</t>
  </si>
  <si>
    <t>TTACCTGGAA+CTGGAACTGT</t>
  </si>
  <si>
    <t>GSF3966-2388</t>
  </si>
  <si>
    <t>CACGGAACAA+GTGCTAGGTT</t>
  </si>
  <si>
    <t>GSF3966-2389</t>
  </si>
  <si>
    <t>CAGTGGCACT+CCTATTGTTA</t>
  </si>
  <si>
    <t>GSF3966-2390</t>
  </si>
  <si>
    <t>ATTGCGCGGT+GCGGAGCCAA</t>
  </si>
  <si>
    <t>GSF3966-2391</t>
  </si>
  <si>
    <t>GTGACACGCA+GTCCGTAAGC</t>
  </si>
  <si>
    <t>GSF3966-2416</t>
  </si>
  <si>
    <t>CACAATAGGA+CTCGGATGGA</t>
  </si>
  <si>
    <t>GSF3966-2417</t>
  </si>
  <si>
    <t>CTTGCCATTA+CCTTCGTGAT</t>
  </si>
  <si>
    <t>GSF3966-2435</t>
  </si>
  <si>
    <t>ATGGTTGACT+AGGACAGGCC</t>
  </si>
  <si>
    <t>GSF3966-2437</t>
  </si>
  <si>
    <t>GCCGCACTCT+CGAGGTCGGA</t>
  </si>
  <si>
    <t>GSF3966-2439</t>
  </si>
  <si>
    <t>TGTAATCGAC+CGCGGTGATC</t>
  </si>
  <si>
    <t>GSF3966-2489</t>
  </si>
  <si>
    <t>CGTTATTCTA+AACCTTATGG</t>
  </si>
  <si>
    <t>GSF3966-2493</t>
  </si>
  <si>
    <t>TAGTTCGGTA+CTACACATGG</t>
  </si>
  <si>
    <t>GSF3966-2505</t>
  </si>
  <si>
    <t>TGGCTAATCA+CTACATGCCT</t>
  </si>
  <si>
    <t>GSF3966-2509</t>
  </si>
  <si>
    <t>CCAAGGCCTT+AGTACTTCGA</t>
  </si>
  <si>
    <t>GSF3966-2511</t>
  </si>
  <si>
    <t>ACTCTATTGT+CATATGCGAT</t>
  </si>
  <si>
    <t>GSF3966-2515</t>
  </si>
  <si>
    <t>CAATCGGCTG+TTCCTACAGC</t>
  </si>
  <si>
    <t>GSF3966-2525</t>
  </si>
  <si>
    <t>AGTAGAAGTG+TCGACGCTAG</t>
  </si>
  <si>
    <t>GSF3966-2531</t>
  </si>
  <si>
    <t>AACATCGCGC+ACAAGTGGAC</t>
  </si>
  <si>
    <t>GSF3966-2609</t>
  </si>
  <si>
    <t>GAAGCGGCAC+AGTAGAGCCG</t>
  </si>
  <si>
    <t>GSF3966-2614</t>
  </si>
  <si>
    <t>TATTGCGCTC+CCTAACACAG</t>
  </si>
  <si>
    <t>GSF3966-2685</t>
  </si>
  <si>
    <t>CCACCAGGCA+ATTCCATAAG</t>
  </si>
  <si>
    <t>GSF3966-2755</t>
  </si>
  <si>
    <t>GTGCAGACAG+ACGGATGGTA</t>
  </si>
  <si>
    <t>GSF3966-2793</t>
  </si>
  <si>
    <t>GCAACATGGA+TTAAGACAAG</t>
  </si>
  <si>
    <t>GSF3966-2878</t>
  </si>
  <si>
    <t>CTATTACTAC+GGAGAGACTC</t>
  </si>
  <si>
    <t>GSF3966-3126</t>
  </si>
  <si>
    <t>AACACTGTTA+TGAGACTTGC</t>
  </si>
  <si>
    <t>GSF3966-3141</t>
  </si>
  <si>
    <t>TTACTCCACA+CATCGGTGTC</t>
  </si>
  <si>
    <t>GSF3966-3230</t>
  </si>
  <si>
    <t>TGGCGCGAAC+AGTATCAGTT</t>
  </si>
  <si>
    <t>GSF3966-3237</t>
  </si>
  <si>
    <t>TACGAGTCCA+TGCTTCGCTA</t>
  </si>
  <si>
    <t>GSF3966-3269</t>
  </si>
  <si>
    <t>GTCCTGGATA+TTCGCCACCG</t>
  </si>
  <si>
    <t>Undetermined</t>
  </si>
  <si>
    <t>unknown</t>
  </si>
  <si>
    <t>NaN</t>
  </si>
  <si>
    <t>Total:</t>
  </si>
  <si>
    <t>Top Unknown Barcodes</t>
  </si>
  <si>
    <t>Count</t>
  </si>
  <si>
    <t>Sequence</t>
  </si>
  <si>
    <t>GGGGGGGGGG+AGATCTCGGT</t>
  </si>
  <si>
    <t>GGGGGGGGGG+CATATGCGAT</t>
  </si>
  <si>
    <t>GGGGGGGGGG+CCTGACCACT</t>
  </si>
  <si>
    <t>GGGGGGGGGG+CTACATGCCT</t>
  </si>
  <si>
    <t>CGGGGGGGGG+TTGACTAGTA</t>
  </si>
  <si>
    <t>GGGGGGGGGG+TTGACTAGTA</t>
  </si>
  <si>
    <t>GGGGGGGGGG+GTCCGTAAGC</t>
  </si>
  <si>
    <t>GGGGGGGGGG+GGAATTGTAA</t>
  </si>
  <si>
    <t>CGGGGGGGGG+TTCCTACAGC</t>
  </si>
  <si>
    <t>GGGGGGGGGG+CTGGAACTGT</t>
  </si>
  <si>
    <t>GGGGGGGGGG+TCGTGCATTC</t>
  </si>
  <si>
    <t>240812_VH01095_139_AACJTLTHV_GSF3966-Silveyra-Ekpruke</t>
  </si>
  <si>
    <t>GGGGGGGGGG+TTCCTACAGC</t>
  </si>
  <si>
    <t>240816_VH01095_141_AACJYG7HV_GSF3966-Silveyra-Ekpruke</t>
  </si>
  <si>
    <t>GSF3966-Silveyra-Ekpruke</t>
  </si>
  <si>
    <t>PF Clusters run1</t>
  </si>
  <si>
    <t>PF Clusters run2</t>
  </si>
  <si>
    <t>PF Clusters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</si>
</sst>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8"/>
      <color rgb="FF000000"/>
      <name val="Courier New"/>
      <family val="3"/>
    </font>
    <font>
      <b/>
      <sz val="8"/>
      <color rgb="FF000000"/>
      <name val="Courier New"/>
      <family val="3"/>
    </font>
    <font>
      <sz val="8"/>
      <color rgb="FF000000"/>
      <name val="Courier New"/>
      <family val="3"/>
    </font>
    <font>
      <i/>
      <sz val="8"/>
      <color rgb="FF000000"/>
      <name val="Courier New"/>
      <family val="3"/>
    </font>
    <font>
      <sz val="8"/>
      <color theme="1"/>
      <name val="Courier New"/>
      <family val="3"/>
    </font>
    <font>
      <b/>
      <sz val="18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3" fontId="3" fillId="0" borderId="5" xfId="0" applyNumberFormat="1" applyFont="1" applyBorder="1" applyAlignment="1">
      <alignment horizontal="right" vertical="center" wrapText="1"/>
    </xf>
    <xf numFmtId="3" fontId="3" fillId="0" borderId="6" xfId="0" applyNumberFormat="1" applyFont="1" applyBorder="1" applyAlignment="1">
      <alignment horizontal="right" vertical="center" wrapText="1"/>
    </xf>
    <xf numFmtId="3" fontId="3" fillId="0" borderId="7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3" fontId="5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3" fontId="3" fillId="0" borderId="9" xfId="0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3" fontId="3" fillId="0" borderId="14" xfId="0" applyNumberFormat="1" applyFont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right" vertical="center" wrapText="1"/>
    </xf>
    <xf numFmtId="0" fontId="4" fillId="0" borderId="23" xfId="0" applyFont="1" applyBorder="1" applyAlignment="1">
      <alignment horizontal="right" vertical="center" wrapText="1"/>
    </xf>
    <xf numFmtId="3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 wrapText="1"/>
    </xf>
    <xf numFmtId="3" fontId="3" fillId="0" borderId="25" xfId="0" applyNumberFormat="1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7" xfId="0" applyFont="1" applyBorder="1" applyAlignment="1">
      <alignment horizontal="right" vertical="center" wrapText="1"/>
    </xf>
    <xf numFmtId="3" fontId="3" fillId="0" borderId="29" xfId="0" applyNumberFormat="1" applyFont="1" applyBorder="1" applyAlignment="1">
      <alignment horizontal="right" vertical="center" wrapText="1"/>
    </xf>
    <xf numFmtId="0" fontId="3" fillId="0" borderId="29" xfId="0" applyFont="1" applyBorder="1" applyAlignment="1">
      <alignment horizontal="right"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right" vertical="center" wrapText="1"/>
    </xf>
    <xf numFmtId="3" fontId="3" fillId="0" borderId="32" xfId="0" applyNumberFormat="1" applyFont="1" applyBorder="1" applyAlignment="1">
      <alignment horizontal="right" vertical="center" wrapText="1"/>
    </xf>
    <xf numFmtId="0" fontId="3" fillId="0" borderId="32" xfId="0" applyFont="1" applyBorder="1" applyAlignment="1">
      <alignment horizontal="right" vertical="center" wrapText="1"/>
    </xf>
    <xf numFmtId="0" fontId="3" fillId="0" borderId="33" xfId="0" applyFont="1" applyBorder="1" applyAlignment="1">
      <alignment horizontal="right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6" fillId="0" borderId="0" xfId="0" applyFont="1"/>
    <xf numFmtId="0" fontId="2" fillId="0" borderId="16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right" vertical="center" wrapText="1"/>
    </xf>
    <xf numFmtId="0" fontId="4" fillId="0" borderId="35" xfId="0" applyFont="1" applyBorder="1" applyAlignment="1">
      <alignment horizontal="right" vertical="center" wrapText="1"/>
    </xf>
    <xf numFmtId="3" fontId="3" fillId="0" borderId="35" xfId="0" applyNumberFormat="1" applyFont="1" applyBorder="1" applyAlignment="1">
      <alignment horizontal="right" vertical="center" wrapText="1"/>
    </xf>
    <xf numFmtId="0" fontId="3" fillId="0" borderId="35" xfId="0" applyFont="1" applyBorder="1" applyAlignment="1">
      <alignment horizontal="right" vertical="center" wrapText="1"/>
    </xf>
    <xf numFmtId="0" fontId="3" fillId="0" borderId="36" xfId="0" applyFont="1" applyBorder="1" applyAlignment="1">
      <alignment horizontal="right" vertical="center" wrapText="1"/>
    </xf>
    <xf numFmtId="0" fontId="3" fillId="0" borderId="0" xfId="0" applyFont="1" applyFill="1" applyBorder="1" applyAlignment="1">
      <alignment horizontal="right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right" vertical="center" wrapText="1"/>
    </xf>
    <xf numFmtId="0" fontId="3" fillId="0" borderId="28" xfId="0" applyFont="1" applyBorder="1" applyAlignment="1">
      <alignment horizontal="right" vertical="center" wrapText="1"/>
    </xf>
    <xf numFmtId="0" fontId="3" fillId="0" borderId="31" xfId="0" applyFont="1" applyBorder="1" applyAlignment="1">
      <alignment horizontal="right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3" fontId="5" fillId="0" borderId="27" xfId="0" applyNumberFormat="1" applyFont="1" applyBorder="1"/>
    <xf numFmtId="3" fontId="5" fillId="0" borderId="30" xfId="0" applyNumberFormat="1" applyFont="1" applyBorder="1"/>
    <xf numFmtId="3" fontId="5" fillId="0" borderId="33" xfId="0" applyNumberFormat="1" applyFont="1" applyBorder="1"/>
    <xf numFmtId="0" fontId="2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5100-E0A8-4A34-B557-F775C3713EB0}">
  <dimension ref="A1:J106"/>
  <sheetViews>
    <sheetView tabSelected="1" workbookViewId="0">
      <selection activeCell="C86" sqref="C86"/>
    </sheetView>
  </sheetViews>
  <sheetFormatPr defaultRowHeight="14.4" x14ac:dyDescent="0.3"/>
  <cols>
    <col min="1" max="3" width="20.77734375" customWidth="1"/>
    <col min="4" max="5" width="16.77734375" customWidth="1"/>
    <col min="6" max="6" width="20.77734375" customWidth="1"/>
    <col min="7" max="12" width="16.77734375" customWidth="1"/>
  </cols>
  <sheetData>
    <row r="1" spans="1:10" ht="24" x14ac:dyDescent="0.5">
      <c r="A1" s="44" t="s">
        <v>183</v>
      </c>
    </row>
    <row r="4" spans="1:10" ht="48" x14ac:dyDescent="0.3">
      <c r="A4" s="1" t="s">
        <v>0</v>
      </c>
    </row>
    <row r="5" spans="1:10" ht="15" thickBot="1" x14ac:dyDescent="0.35"/>
    <row r="6" spans="1:10" x14ac:dyDescent="0.3">
      <c r="A6" s="3" t="s">
        <v>1</v>
      </c>
      <c r="B6" s="4" t="s">
        <v>2</v>
      </c>
      <c r="C6" s="5" t="s">
        <v>3</v>
      </c>
    </row>
    <row r="7" spans="1:10" ht="15" thickBot="1" x14ac:dyDescent="0.35">
      <c r="A7" s="6">
        <v>1695085056</v>
      </c>
      <c r="B7" s="7">
        <v>1387032848</v>
      </c>
      <c r="C7" s="8">
        <v>94318</v>
      </c>
    </row>
    <row r="9" spans="1:10" ht="48" x14ac:dyDescent="0.3">
      <c r="A9" s="1" t="s">
        <v>4</v>
      </c>
    </row>
    <row r="10" spans="1:10" ht="15" thickBot="1" x14ac:dyDescent="0.35"/>
    <row r="11" spans="1:10" x14ac:dyDescent="0.3">
      <c r="A11" s="45" t="s">
        <v>6</v>
      </c>
      <c r="B11" s="47" t="s">
        <v>7</v>
      </c>
      <c r="C11" s="47" t="s">
        <v>8</v>
      </c>
      <c r="D11" s="22" t="s">
        <v>9</v>
      </c>
      <c r="E11" s="22" t="s">
        <v>11</v>
      </c>
      <c r="F11" s="22" t="s">
        <v>13</v>
      </c>
      <c r="G11" s="47" t="s">
        <v>14</v>
      </c>
      <c r="H11" s="22" t="s">
        <v>15</v>
      </c>
      <c r="I11" s="22" t="s">
        <v>17</v>
      </c>
      <c r="J11" s="23" t="s">
        <v>19</v>
      </c>
    </row>
    <row r="12" spans="1:10" ht="15" thickBot="1" x14ac:dyDescent="0.35">
      <c r="A12" s="46"/>
      <c r="B12" s="48"/>
      <c r="C12" s="48"/>
      <c r="D12" s="24" t="s">
        <v>10</v>
      </c>
      <c r="E12" s="24" t="s">
        <v>12</v>
      </c>
      <c r="F12" s="24" t="s">
        <v>12</v>
      </c>
      <c r="G12" s="48"/>
      <c r="H12" s="24" t="s">
        <v>16</v>
      </c>
      <c r="I12" s="24" t="s">
        <v>18</v>
      </c>
      <c r="J12" s="25" t="s">
        <v>20</v>
      </c>
    </row>
    <row r="13" spans="1:10" x14ac:dyDescent="0.3">
      <c r="A13" s="12" t="s">
        <v>21</v>
      </c>
      <c r="B13" s="13" t="s">
        <v>22</v>
      </c>
      <c r="C13" s="14">
        <v>18561326</v>
      </c>
      <c r="D13" s="13">
        <v>1.35</v>
      </c>
      <c r="E13" s="13">
        <v>97.93</v>
      </c>
      <c r="F13" s="13">
        <v>2.0699999999999998</v>
      </c>
      <c r="G13" s="13">
        <v>623</v>
      </c>
      <c r="H13" s="13">
        <v>100</v>
      </c>
      <c r="I13" s="13">
        <v>95.43</v>
      </c>
      <c r="J13" s="15">
        <v>33.36</v>
      </c>
    </row>
    <row r="14" spans="1:10" x14ac:dyDescent="0.3">
      <c r="A14" s="16" t="s">
        <v>23</v>
      </c>
      <c r="B14" s="9" t="s">
        <v>24</v>
      </c>
      <c r="C14" s="2">
        <v>15575482</v>
      </c>
      <c r="D14" s="9">
        <v>1.1000000000000001</v>
      </c>
      <c r="E14" s="9">
        <v>96.71</v>
      </c>
      <c r="F14" s="9">
        <v>3.29</v>
      </c>
      <c r="G14" s="9">
        <v>509</v>
      </c>
      <c r="H14" s="9">
        <v>100</v>
      </c>
      <c r="I14" s="9">
        <v>95.16</v>
      </c>
      <c r="J14" s="17">
        <v>33.33</v>
      </c>
    </row>
    <row r="15" spans="1:10" x14ac:dyDescent="0.3">
      <c r="A15" s="16" t="s">
        <v>25</v>
      </c>
      <c r="B15" s="9" t="s">
        <v>26</v>
      </c>
      <c r="C15" s="2">
        <v>18610059</v>
      </c>
      <c r="D15" s="9">
        <v>1.37</v>
      </c>
      <c r="E15" s="9">
        <v>98.59</v>
      </c>
      <c r="F15" s="9">
        <v>1.41</v>
      </c>
      <c r="G15" s="9">
        <v>630</v>
      </c>
      <c r="H15" s="9">
        <v>100</v>
      </c>
      <c r="I15" s="9">
        <v>95.57</v>
      </c>
      <c r="J15" s="17">
        <v>33.380000000000003</v>
      </c>
    </row>
    <row r="16" spans="1:10" x14ac:dyDescent="0.3">
      <c r="A16" s="16" t="s">
        <v>27</v>
      </c>
      <c r="B16" s="9" t="s">
        <v>28</v>
      </c>
      <c r="C16" s="2">
        <v>16587901</v>
      </c>
      <c r="D16" s="9">
        <v>1.17</v>
      </c>
      <c r="E16" s="9">
        <v>95.72</v>
      </c>
      <c r="F16" s="9">
        <v>4.28</v>
      </c>
      <c r="G16" s="9">
        <v>539</v>
      </c>
      <c r="H16" s="9">
        <v>100</v>
      </c>
      <c r="I16" s="9">
        <v>95.12</v>
      </c>
      <c r="J16" s="17">
        <v>33.32</v>
      </c>
    </row>
    <row r="17" spans="1:10" x14ac:dyDescent="0.3">
      <c r="A17" s="16" t="s">
        <v>29</v>
      </c>
      <c r="B17" s="9" t="s">
        <v>30</v>
      </c>
      <c r="C17" s="2">
        <v>15880209</v>
      </c>
      <c r="D17" s="9">
        <v>1.1299999999999999</v>
      </c>
      <c r="E17" s="9">
        <v>96.9</v>
      </c>
      <c r="F17" s="9">
        <v>3.1</v>
      </c>
      <c r="G17" s="9">
        <v>523</v>
      </c>
      <c r="H17" s="9">
        <v>100</v>
      </c>
      <c r="I17" s="9">
        <v>95.5</v>
      </c>
      <c r="J17" s="17">
        <v>33.36</v>
      </c>
    </row>
    <row r="18" spans="1:10" x14ac:dyDescent="0.3">
      <c r="A18" s="16" t="s">
        <v>31</v>
      </c>
      <c r="B18" s="9" t="s">
        <v>32</v>
      </c>
      <c r="C18" s="2">
        <v>20467978</v>
      </c>
      <c r="D18" s="9">
        <v>1.49</v>
      </c>
      <c r="E18" s="9">
        <v>94.89</v>
      </c>
      <c r="F18" s="9">
        <v>5.1100000000000003</v>
      </c>
      <c r="G18" s="9">
        <v>686</v>
      </c>
      <c r="H18" s="9">
        <v>100</v>
      </c>
      <c r="I18" s="9">
        <v>95.18</v>
      </c>
      <c r="J18" s="17">
        <v>33.33</v>
      </c>
    </row>
    <row r="19" spans="1:10" x14ac:dyDescent="0.3">
      <c r="A19" s="16" t="s">
        <v>33</v>
      </c>
      <c r="B19" s="9" t="s">
        <v>34</v>
      </c>
      <c r="C19" s="2">
        <v>18138775</v>
      </c>
      <c r="D19" s="9">
        <v>1.3</v>
      </c>
      <c r="E19" s="9">
        <v>98.97</v>
      </c>
      <c r="F19" s="9">
        <v>1.03</v>
      </c>
      <c r="G19" s="9">
        <v>600</v>
      </c>
      <c r="H19" s="9">
        <v>100</v>
      </c>
      <c r="I19" s="9">
        <v>95.2</v>
      </c>
      <c r="J19" s="17">
        <v>33.33</v>
      </c>
    </row>
    <row r="20" spans="1:10" x14ac:dyDescent="0.3">
      <c r="A20" s="16" t="s">
        <v>35</v>
      </c>
      <c r="B20" s="9" t="s">
        <v>36</v>
      </c>
      <c r="C20" s="2">
        <v>21920439</v>
      </c>
      <c r="D20" s="9">
        <v>1.59</v>
      </c>
      <c r="E20" s="9">
        <v>97.83</v>
      </c>
      <c r="F20" s="9">
        <v>2.17</v>
      </c>
      <c r="G20" s="9">
        <v>734</v>
      </c>
      <c r="H20" s="9">
        <v>100</v>
      </c>
      <c r="I20" s="9">
        <v>95.13</v>
      </c>
      <c r="J20" s="17">
        <v>33.32</v>
      </c>
    </row>
    <row r="21" spans="1:10" x14ac:dyDescent="0.3">
      <c r="A21" s="16" t="s">
        <v>37</v>
      </c>
      <c r="B21" s="9" t="s">
        <v>38</v>
      </c>
      <c r="C21" s="2">
        <v>17310769</v>
      </c>
      <c r="D21" s="9">
        <v>1.23</v>
      </c>
      <c r="E21" s="9">
        <v>98.93</v>
      </c>
      <c r="F21" s="9">
        <v>1.07</v>
      </c>
      <c r="G21" s="9">
        <v>569</v>
      </c>
      <c r="H21" s="9">
        <v>100</v>
      </c>
      <c r="I21" s="9">
        <v>95.14</v>
      </c>
      <c r="J21" s="17">
        <v>33.33</v>
      </c>
    </row>
    <row r="22" spans="1:10" x14ac:dyDescent="0.3">
      <c r="A22" s="16" t="s">
        <v>39</v>
      </c>
      <c r="B22" s="9" t="s">
        <v>40</v>
      </c>
      <c r="C22" s="2">
        <v>17718381</v>
      </c>
      <c r="D22" s="9">
        <v>1.29</v>
      </c>
      <c r="E22" s="9">
        <v>98.71</v>
      </c>
      <c r="F22" s="9">
        <v>1.29</v>
      </c>
      <c r="G22" s="9">
        <v>597</v>
      </c>
      <c r="H22" s="9">
        <v>100</v>
      </c>
      <c r="I22" s="9">
        <v>95.17</v>
      </c>
      <c r="J22" s="17">
        <v>33.33</v>
      </c>
    </row>
    <row r="23" spans="1:10" x14ac:dyDescent="0.3">
      <c r="A23" s="16" t="s">
        <v>41</v>
      </c>
      <c r="B23" s="9" t="s">
        <v>42</v>
      </c>
      <c r="C23" s="2">
        <v>12641723</v>
      </c>
      <c r="D23" s="9">
        <v>0.91</v>
      </c>
      <c r="E23" s="9">
        <v>91.97</v>
      </c>
      <c r="F23" s="9">
        <v>8.0299999999999994</v>
      </c>
      <c r="G23" s="9">
        <v>419</v>
      </c>
      <c r="H23" s="9">
        <v>100</v>
      </c>
      <c r="I23" s="9">
        <v>95.05</v>
      </c>
      <c r="J23" s="17">
        <v>33.29</v>
      </c>
    </row>
    <row r="24" spans="1:10" x14ac:dyDescent="0.3">
      <c r="A24" s="16" t="s">
        <v>43</v>
      </c>
      <c r="B24" s="9" t="s">
        <v>44</v>
      </c>
      <c r="C24" s="2">
        <v>17453648</v>
      </c>
      <c r="D24" s="9">
        <v>1.25</v>
      </c>
      <c r="E24" s="9">
        <v>98.61</v>
      </c>
      <c r="F24" s="9">
        <v>1.39</v>
      </c>
      <c r="G24" s="9">
        <v>578</v>
      </c>
      <c r="H24" s="9">
        <v>100</v>
      </c>
      <c r="I24" s="9">
        <v>95.23</v>
      </c>
      <c r="J24" s="17">
        <v>33.340000000000003</v>
      </c>
    </row>
    <row r="25" spans="1:10" x14ac:dyDescent="0.3">
      <c r="A25" s="16" t="s">
        <v>45</v>
      </c>
      <c r="B25" s="9" t="s">
        <v>46</v>
      </c>
      <c r="C25" s="2">
        <v>17415815</v>
      </c>
      <c r="D25" s="9">
        <v>1.27</v>
      </c>
      <c r="E25" s="9">
        <v>97.93</v>
      </c>
      <c r="F25" s="9">
        <v>2.0699999999999998</v>
      </c>
      <c r="G25" s="9">
        <v>587</v>
      </c>
      <c r="H25" s="9">
        <v>100</v>
      </c>
      <c r="I25" s="9">
        <v>95.35</v>
      </c>
      <c r="J25" s="17">
        <v>33.35</v>
      </c>
    </row>
    <row r="26" spans="1:10" x14ac:dyDescent="0.3">
      <c r="A26" s="16" t="s">
        <v>47</v>
      </c>
      <c r="B26" s="9" t="s">
        <v>48</v>
      </c>
      <c r="C26" s="2">
        <v>17538014</v>
      </c>
      <c r="D26" s="9">
        <v>1.28</v>
      </c>
      <c r="E26" s="9">
        <v>99.2</v>
      </c>
      <c r="F26" s="9">
        <v>0.8</v>
      </c>
      <c r="G26" s="9">
        <v>590</v>
      </c>
      <c r="H26" s="9">
        <v>100</v>
      </c>
      <c r="I26" s="9">
        <v>95.21</v>
      </c>
      <c r="J26" s="17">
        <v>33.32</v>
      </c>
    </row>
    <row r="27" spans="1:10" x14ac:dyDescent="0.3">
      <c r="A27" s="16" t="s">
        <v>49</v>
      </c>
      <c r="B27" s="9" t="s">
        <v>50</v>
      </c>
      <c r="C27" s="2">
        <v>16475251</v>
      </c>
      <c r="D27" s="9">
        <v>1.2</v>
      </c>
      <c r="E27" s="9">
        <v>97.35</v>
      </c>
      <c r="F27" s="9">
        <v>2.65</v>
      </c>
      <c r="G27" s="9">
        <v>554</v>
      </c>
      <c r="H27" s="9">
        <v>100</v>
      </c>
      <c r="I27" s="9">
        <v>95.23</v>
      </c>
      <c r="J27" s="17">
        <v>33.340000000000003</v>
      </c>
    </row>
    <row r="28" spans="1:10" x14ac:dyDescent="0.3">
      <c r="A28" s="16" t="s">
        <v>51</v>
      </c>
      <c r="B28" s="9" t="s">
        <v>52</v>
      </c>
      <c r="C28" s="2">
        <v>18299774</v>
      </c>
      <c r="D28" s="9">
        <v>1.31</v>
      </c>
      <c r="E28" s="9">
        <v>99</v>
      </c>
      <c r="F28" s="9">
        <v>1</v>
      </c>
      <c r="G28" s="9">
        <v>607</v>
      </c>
      <c r="H28" s="9">
        <v>100</v>
      </c>
      <c r="I28" s="9">
        <v>95.18</v>
      </c>
      <c r="J28" s="17">
        <v>33.33</v>
      </c>
    </row>
    <row r="29" spans="1:10" x14ac:dyDescent="0.3">
      <c r="A29" s="16" t="s">
        <v>53</v>
      </c>
      <c r="B29" s="9" t="s">
        <v>54</v>
      </c>
      <c r="C29" s="2">
        <v>19313767</v>
      </c>
      <c r="D29" s="9">
        <v>1.39</v>
      </c>
      <c r="E29" s="9">
        <v>99.15</v>
      </c>
      <c r="F29" s="9">
        <v>0.85</v>
      </c>
      <c r="G29" s="9">
        <v>642</v>
      </c>
      <c r="H29" s="9">
        <v>100</v>
      </c>
      <c r="I29" s="9">
        <v>95.49</v>
      </c>
      <c r="J29" s="17">
        <v>33.369999999999997</v>
      </c>
    </row>
    <row r="30" spans="1:10" x14ac:dyDescent="0.3">
      <c r="A30" s="16" t="s">
        <v>55</v>
      </c>
      <c r="B30" s="9" t="s">
        <v>56</v>
      </c>
      <c r="C30" s="2">
        <v>15474389</v>
      </c>
      <c r="D30" s="9">
        <v>1.1100000000000001</v>
      </c>
      <c r="E30" s="9">
        <v>98.07</v>
      </c>
      <c r="F30" s="9">
        <v>1.93</v>
      </c>
      <c r="G30" s="9">
        <v>512</v>
      </c>
      <c r="H30" s="9">
        <v>100</v>
      </c>
      <c r="I30" s="9">
        <v>95.06</v>
      </c>
      <c r="J30" s="17">
        <v>33.31</v>
      </c>
    </row>
    <row r="31" spans="1:10" x14ac:dyDescent="0.3">
      <c r="A31" s="16" t="s">
        <v>57</v>
      </c>
      <c r="B31" s="9" t="s">
        <v>58</v>
      </c>
      <c r="C31" s="2">
        <v>16960310</v>
      </c>
      <c r="D31" s="9">
        <v>1.23</v>
      </c>
      <c r="E31" s="9">
        <v>98.59</v>
      </c>
      <c r="F31" s="9">
        <v>1.41</v>
      </c>
      <c r="G31" s="9">
        <v>567</v>
      </c>
      <c r="H31" s="9">
        <v>100</v>
      </c>
      <c r="I31" s="9">
        <v>95.09</v>
      </c>
      <c r="J31" s="17">
        <v>33.32</v>
      </c>
    </row>
    <row r="32" spans="1:10" x14ac:dyDescent="0.3">
      <c r="A32" s="16" t="s">
        <v>59</v>
      </c>
      <c r="B32" s="9" t="s">
        <v>60</v>
      </c>
      <c r="C32" s="2">
        <v>14236595</v>
      </c>
      <c r="D32" s="9">
        <v>1.02</v>
      </c>
      <c r="E32" s="9">
        <v>95.78</v>
      </c>
      <c r="F32" s="9">
        <v>4.22</v>
      </c>
      <c r="G32" s="9">
        <v>470</v>
      </c>
      <c r="H32" s="9">
        <v>100</v>
      </c>
      <c r="I32" s="9">
        <v>95.39</v>
      </c>
      <c r="J32" s="17">
        <v>33.36</v>
      </c>
    </row>
    <row r="33" spans="1:10" x14ac:dyDescent="0.3">
      <c r="A33" s="16" t="s">
        <v>61</v>
      </c>
      <c r="B33" s="9" t="s">
        <v>62</v>
      </c>
      <c r="C33" s="2">
        <v>14162070</v>
      </c>
      <c r="D33" s="9">
        <v>1.03</v>
      </c>
      <c r="E33" s="9">
        <v>97.2</v>
      </c>
      <c r="F33" s="9">
        <v>2.8</v>
      </c>
      <c r="G33" s="9">
        <v>474</v>
      </c>
      <c r="H33" s="9">
        <v>100</v>
      </c>
      <c r="I33" s="9">
        <v>95.13</v>
      </c>
      <c r="J33" s="17">
        <v>33.32</v>
      </c>
    </row>
    <row r="34" spans="1:10" x14ac:dyDescent="0.3">
      <c r="A34" s="16" t="s">
        <v>63</v>
      </c>
      <c r="B34" s="9" t="s">
        <v>64</v>
      </c>
      <c r="C34" s="2">
        <v>15982789</v>
      </c>
      <c r="D34" s="9">
        <v>1.1299999999999999</v>
      </c>
      <c r="E34" s="9">
        <v>98.95</v>
      </c>
      <c r="F34" s="9">
        <v>1.05</v>
      </c>
      <c r="G34" s="9">
        <v>523</v>
      </c>
      <c r="H34" s="9">
        <v>100</v>
      </c>
      <c r="I34" s="9">
        <v>95.18</v>
      </c>
      <c r="J34" s="17">
        <v>33.33</v>
      </c>
    </row>
    <row r="35" spans="1:10" x14ac:dyDescent="0.3">
      <c r="A35" s="16" t="s">
        <v>65</v>
      </c>
      <c r="B35" s="9" t="s">
        <v>66</v>
      </c>
      <c r="C35" s="2">
        <v>18850105</v>
      </c>
      <c r="D35" s="9">
        <v>1.37</v>
      </c>
      <c r="E35" s="9">
        <v>97.85</v>
      </c>
      <c r="F35" s="9">
        <v>2.15</v>
      </c>
      <c r="G35" s="9">
        <v>634</v>
      </c>
      <c r="H35" s="9">
        <v>100</v>
      </c>
      <c r="I35" s="9">
        <v>94.85</v>
      </c>
      <c r="J35" s="17">
        <v>33.28</v>
      </c>
    </row>
    <row r="36" spans="1:10" x14ac:dyDescent="0.3">
      <c r="A36" s="16" t="s">
        <v>67</v>
      </c>
      <c r="B36" s="9" t="s">
        <v>68</v>
      </c>
      <c r="C36" s="2">
        <v>17652230</v>
      </c>
      <c r="D36" s="9">
        <v>1.26</v>
      </c>
      <c r="E36" s="9">
        <v>98.43</v>
      </c>
      <c r="F36" s="9">
        <v>1.57</v>
      </c>
      <c r="G36" s="9">
        <v>582</v>
      </c>
      <c r="H36" s="9">
        <v>100</v>
      </c>
      <c r="I36" s="9">
        <v>95.36</v>
      </c>
      <c r="J36" s="17">
        <v>33.35</v>
      </c>
    </row>
    <row r="37" spans="1:10" x14ac:dyDescent="0.3">
      <c r="A37" s="16" t="s">
        <v>69</v>
      </c>
      <c r="B37" s="9" t="s">
        <v>70</v>
      </c>
      <c r="C37" s="2">
        <v>19863189</v>
      </c>
      <c r="D37" s="9">
        <v>1.45</v>
      </c>
      <c r="E37" s="9">
        <v>96.72</v>
      </c>
      <c r="F37" s="9">
        <v>3.28</v>
      </c>
      <c r="G37" s="9">
        <v>670</v>
      </c>
      <c r="H37" s="9">
        <v>100</v>
      </c>
      <c r="I37" s="9">
        <v>95.22</v>
      </c>
      <c r="J37" s="17">
        <v>33.340000000000003</v>
      </c>
    </row>
    <row r="38" spans="1:10" x14ac:dyDescent="0.3">
      <c r="A38" s="16" t="s">
        <v>71</v>
      </c>
      <c r="B38" s="9" t="s">
        <v>72</v>
      </c>
      <c r="C38" s="2">
        <v>18357975</v>
      </c>
      <c r="D38" s="9">
        <v>1.31</v>
      </c>
      <c r="E38" s="9">
        <v>99.03</v>
      </c>
      <c r="F38" s="9">
        <v>0.97</v>
      </c>
      <c r="G38" s="9">
        <v>606</v>
      </c>
      <c r="H38" s="9">
        <v>100</v>
      </c>
      <c r="I38" s="9">
        <v>95.13</v>
      </c>
      <c r="J38" s="17">
        <v>33.33</v>
      </c>
    </row>
    <row r="39" spans="1:10" x14ac:dyDescent="0.3">
      <c r="A39" s="16" t="s">
        <v>73</v>
      </c>
      <c r="B39" s="9" t="s">
        <v>74</v>
      </c>
      <c r="C39" s="2">
        <v>14788958</v>
      </c>
      <c r="D39" s="9">
        <v>1.05</v>
      </c>
      <c r="E39" s="9">
        <v>98.05</v>
      </c>
      <c r="F39" s="9">
        <v>1.95</v>
      </c>
      <c r="G39" s="9">
        <v>485</v>
      </c>
      <c r="H39" s="9">
        <v>100</v>
      </c>
      <c r="I39" s="9">
        <v>95.21</v>
      </c>
      <c r="J39" s="17">
        <v>33.340000000000003</v>
      </c>
    </row>
    <row r="40" spans="1:10" x14ac:dyDescent="0.3">
      <c r="A40" s="16" t="s">
        <v>75</v>
      </c>
      <c r="B40" s="9" t="s">
        <v>76</v>
      </c>
      <c r="C40" s="2">
        <v>19798666</v>
      </c>
      <c r="D40" s="9">
        <v>1.45</v>
      </c>
      <c r="E40" s="9">
        <v>98.31</v>
      </c>
      <c r="F40" s="9">
        <v>1.69</v>
      </c>
      <c r="G40" s="9">
        <v>668</v>
      </c>
      <c r="H40" s="9">
        <v>100</v>
      </c>
      <c r="I40" s="9">
        <v>95.38</v>
      </c>
      <c r="J40" s="17">
        <v>33.35</v>
      </c>
    </row>
    <row r="41" spans="1:10" x14ac:dyDescent="0.3">
      <c r="A41" s="16" t="s">
        <v>77</v>
      </c>
      <c r="B41" s="9" t="s">
        <v>78</v>
      </c>
      <c r="C41" s="2">
        <v>17974880</v>
      </c>
      <c r="D41" s="9">
        <v>1.3</v>
      </c>
      <c r="E41" s="9">
        <v>92.79</v>
      </c>
      <c r="F41" s="9">
        <v>7.21</v>
      </c>
      <c r="G41" s="9">
        <v>599</v>
      </c>
      <c r="H41" s="9">
        <v>100</v>
      </c>
      <c r="I41" s="9">
        <v>95.45</v>
      </c>
      <c r="J41" s="17">
        <v>33.36</v>
      </c>
    </row>
    <row r="42" spans="1:10" x14ac:dyDescent="0.3">
      <c r="A42" s="16" t="s">
        <v>79</v>
      </c>
      <c r="B42" s="9" t="s">
        <v>80</v>
      </c>
      <c r="C42" s="2">
        <v>20452353</v>
      </c>
      <c r="D42" s="9">
        <v>1.47</v>
      </c>
      <c r="E42" s="9">
        <v>98.58</v>
      </c>
      <c r="F42" s="9">
        <v>1.42</v>
      </c>
      <c r="G42" s="9">
        <v>677</v>
      </c>
      <c r="H42" s="9">
        <v>100</v>
      </c>
      <c r="I42" s="9">
        <v>95.22</v>
      </c>
      <c r="J42" s="17">
        <v>33.340000000000003</v>
      </c>
    </row>
    <row r="43" spans="1:10" x14ac:dyDescent="0.3">
      <c r="A43" s="16" t="s">
        <v>81</v>
      </c>
      <c r="B43" s="9" t="s">
        <v>82</v>
      </c>
      <c r="C43" s="2">
        <v>20590799</v>
      </c>
      <c r="D43" s="9">
        <v>1.48</v>
      </c>
      <c r="E43" s="9">
        <v>99.18</v>
      </c>
      <c r="F43" s="9">
        <v>0.82</v>
      </c>
      <c r="G43" s="9">
        <v>685</v>
      </c>
      <c r="H43" s="9">
        <v>100</v>
      </c>
      <c r="I43" s="9">
        <v>95.16</v>
      </c>
      <c r="J43" s="17">
        <v>33.33</v>
      </c>
    </row>
    <row r="44" spans="1:10" x14ac:dyDescent="0.3">
      <c r="A44" s="16" t="s">
        <v>83</v>
      </c>
      <c r="B44" s="9" t="s">
        <v>84</v>
      </c>
      <c r="C44" s="2">
        <v>19843272</v>
      </c>
      <c r="D44" s="9">
        <v>1.44</v>
      </c>
      <c r="E44" s="9">
        <v>99.15</v>
      </c>
      <c r="F44" s="9">
        <v>0.85</v>
      </c>
      <c r="G44" s="9">
        <v>663</v>
      </c>
      <c r="H44" s="9">
        <v>100</v>
      </c>
      <c r="I44" s="9">
        <v>95.28</v>
      </c>
      <c r="J44" s="17">
        <v>33.340000000000003</v>
      </c>
    </row>
    <row r="45" spans="1:10" x14ac:dyDescent="0.3">
      <c r="A45" s="16" t="s">
        <v>85</v>
      </c>
      <c r="B45" s="9" t="s">
        <v>86</v>
      </c>
      <c r="C45" s="2">
        <v>15357376</v>
      </c>
      <c r="D45" s="9">
        <v>1.1000000000000001</v>
      </c>
      <c r="E45" s="9">
        <v>98.71</v>
      </c>
      <c r="F45" s="9">
        <v>1.29</v>
      </c>
      <c r="G45" s="9">
        <v>510</v>
      </c>
      <c r="H45" s="9">
        <v>100</v>
      </c>
      <c r="I45" s="9">
        <v>95.27</v>
      </c>
      <c r="J45" s="17">
        <v>33.35</v>
      </c>
    </row>
    <row r="46" spans="1:10" x14ac:dyDescent="0.3">
      <c r="A46" s="16" t="s">
        <v>87</v>
      </c>
      <c r="B46" s="9" t="s">
        <v>88</v>
      </c>
      <c r="C46" s="2">
        <v>17045957</v>
      </c>
      <c r="D46" s="9">
        <v>1.23</v>
      </c>
      <c r="E46" s="9">
        <v>98.8</v>
      </c>
      <c r="F46" s="9">
        <v>1.2</v>
      </c>
      <c r="G46" s="9">
        <v>569</v>
      </c>
      <c r="H46" s="9">
        <v>100</v>
      </c>
      <c r="I46" s="9">
        <v>95.16</v>
      </c>
      <c r="J46" s="17">
        <v>33.33</v>
      </c>
    </row>
    <row r="47" spans="1:10" x14ac:dyDescent="0.3">
      <c r="A47" s="16" t="s">
        <v>89</v>
      </c>
      <c r="B47" s="9" t="s">
        <v>90</v>
      </c>
      <c r="C47" s="2">
        <v>17601604</v>
      </c>
      <c r="D47" s="9">
        <v>1.28</v>
      </c>
      <c r="E47" s="9">
        <v>98.47</v>
      </c>
      <c r="F47" s="9">
        <v>1.53</v>
      </c>
      <c r="G47" s="9">
        <v>589</v>
      </c>
      <c r="H47" s="9">
        <v>100</v>
      </c>
      <c r="I47" s="9">
        <v>95.12</v>
      </c>
      <c r="J47" s="17">
        <v>33.32</v>
      </c>
    </row>
    <row r="48" spans="1:10" x14ac:dyDescent="0.3">
      <c r="A48" s="16" t="s">
        <v>91</v>
      </c>
      <c r="B48" s="9" t="s">
        <v>92</v>
      </c>
      <c r="C48" s="2">
        <v>17178411</v>
      </c>
      <c r="D48" s="9">
        <v>1.24</v>
      </c>
      <c r="E48" s="9">
        <v>98.83</v>
      </c>
      <c r="F48" s="9">
        <v>1.17</v>
      </c>
      <c r="G48" s="9">
        <v>571</v>
      </c>
      <c r="H48" s="9">
        <v>100</v>
      </c>
      <c r="I48" s="9">
        <v>95.23</v>
      </c>
      <c r="J48" s="17">
        <v>33.340000000000003</v>
      </c>
    </row>
    <row r="49" spans="1:10" x14ac:dyDescent="0.3">
      <c r="A49" s="16" t="s">
        <v>93</v>
      </c>
      <c r="B49" s="9" t="s">
        <v>94</v>
      </c>
      <c r="C49" s="2">
        <v>18534653</v>
      </c>
      <c r="D49" s="9">
        <v>1.34</v>
      </c>
      <c r="E49" s="9">
        <v>97.26</v>
      </c>
      <c r="F49" s="9">
        <v>2.74</v>
      </c>
      <c r="G49" s="9">
        <v>617</v>
      </c>
      <c r="H49" s="9">
        <v>100</v>
      </c>
      <c r="I49" s="9">
        <v>95.11</v>
      </c>
      <c r="J49" s="17">
        <v>33.32</v>
      </c>
    </row>
    <row r="50" spans="1:10" x14ac:dyDescent="0.3">
      <c r="A50" s="16" t="s">
        <v>95</v>
      </c>
      <c r="B50" s="9" t="s">
        <v>96</v>
      </c>
      <c r="C50" s="2">
        <v>16520027</v>
      </c>
      <c r="D50" s="9">
        <v>1.18</v>
      </c>
      <c r="E50" s="9">
        <v>97.22</v>
      </c>
      <c r="F50" s="9">
        <v>2.78</v>
      </c>
      <c r="G50" s="9">
        <v>545</v>
      </c>
      <c r="H50" s="9">
        <v>100</v>
      </c>
      <c r="I50" s="9">
        <v>95.07</v>
      </c>
      <c r="J50" s="17">
        <v>33.31</v>
      </c>
    </row>
    <row r="51" spans="1:10" x14ac:dyDescent="0.3">
      <c r="A51" s="16" t="s">
        <v>97</v>
      </c>
      <c r="B51" s="9" t="s">
        <v>98</v>
      </c>
      <c r="C51" s="2">
        <v>16864229</v>
      </c>
      <c r="D51" s="9">
        <v>1.21</v>
      </c>
      <c r="E51" s="9">
        <v>98.88</v>
      </c>
      <c r="F51" s="9">
        <v>1.1200000000000001</v>
      </c>
      <c r="G51" s="9">
        <v>559</v>
      </c>
      <c r="H51" s="9">
        <v>100</v>
      </c>
      <c r="I51" s="9">
        <v>95.06</v>
      </c>
      <c r="J51" s="17">
        <v>33.32</v>
      </c>
    </row>
    <row r="52" spans="1:10" x14ac:dyDescent="0.3">
      <c r="A52" s="16" t="s">
        <v>99</v>
      </c>
      <c r="B52" s="9" t="s">
        <v>100</v>
      </c>
      <c r="C52" s="2">
        <v>20140163</v>
      </c>
      <c r="D52" s="9">
        <v>1.45</v>
      </c>
      <c r="E52" s="9">
        <v>98.73</v>
      </c>
      <c r="F52" s="9">
        <v>1.27</v>
      </c>
      <c r="G52" s="9">
        <v>671</v>
      </c>
      <c r="H52" s="9">
        <v>100</v>
      </c>
      <c r="I52" s="9">
        <v>94.95</v>
      </c>
      <c r="J52" s="17">
        <v>33.29</v>
      </c>
    </row>
    <row r="53" spans="1:10" x14ac:dyDescent="0.3">
      <c r="A53" s="16" t="s">
        <v>101</v>
      </c>
      <c r="B53" s="9" t="s">
        <v>102</v>
      </c>
      <c r="C53" s="2">
        <v>19497348</v>
      </c>
      <c r="D53" s="9">
        <v>1.41</v>
      </c>
      <c r="E53" s="9">
        <v>98.53</v>
      </c>
      <c r="F53" s="9">
        <v>1.47</v>
      </c>
      <c r="G53" s="9">
        <v>651</v>
      </c>
      <c r="H53" s="9">
        <v>100</v>
      </c>
      <c r="I53" s="9">
        <v>95.2</v>
      </c>
      <c r="J53" s="17">
        <v>33.33</v>
      </c>
    </row>
    <row r="54" spans="1:10" x14ac:dyDescent="0.3">
      <c r="A54" s="16" t="s">
        <v>103</v>
      </c>
      <c r="B54" s="9" t="s">
        <v>104</v>
      </c>
      <c r="C54" s="2">
        <v>17943365</v>
      </c>
      <c r="D54" s="9">
        <v>1.29</v>
      </c>
      <c r="E54" s="9">
        <v>99.1</v>
      </c>
      <c r="F54" s="9">
        <v>0.9</v>
      </c>
      <c r="G54" s="9">
        <v>596</v>
      </c>
      <c r="H54" s="9">
        <v>100</v>
      </c>
      <c r="I54" s="9">
        <v>95.53</v>
      </c>
      <c r="J54" s="17">
        <v>33.380000000000003</v>
      </c>
    </row>
    <row r="55" spans="1:10" x14ac:dyDescent="0.3">
      <c r="A55" s="16" t="s">
        <v>105</v>
      </c>
      <c r="B55" s="9" t="s">
        <v>106</v>
      </c>
      <c r="C55" s="2">
        <v>18405042</v>
      </c>
      <c r="D55" s="9">
        <v>1.32</v>
      </c>
      <c r="E55" s="9">
        <v>98.1</v>
      </c>
      <c r="F55" s="9">
        <v>1.9</v>
      </c>
      <c r="G55" s="9">
        <v>609</v>
      </c>
      <c r="H55" s="9">
        <v>100</v>
      </c>
      <c r="I55" s="9">
        <v>95.18</v>
      </c>
      <c r="J55" s="17">
        <v>33.33</v>
      </c>
    </row>
    <row r="56" spans="1:10" x14ac:dyDescent="0.3">
      <c r="A56" s="16" t="s">
        <v>107</v>
      </c>
      <c r="B56" s="9" t="s">
        <v>108</v>
      </c>
      <c r="C56" s="2">
        <v>20963047</v>
      </c>
      <c r="D56" s="9">
        <v>1.52</v>
      </c>
      <c r="E56" s="9">
        <v>98.76</v>
      </c>
      <c r="F56" s="9">
        <v>1.24</v>
      </c>
      <c r="G56" s="9">
        <v>701</v>
      </c>
      <c r="H56" s="9">
        <v>100</v>
      </c>
      <c r="I56" s="9">
        <v>95.27</v>
      </c>
      <c r="J56" s="17">
        <v>33.35</v>
      </c>
    </row>
    <row r="57" spans="1:10" x14ac:dyDescent="0.3">
      <c r="A57" s="16" t="s">
        <v>109</v>
      </c>
      <c r="B57" s="9" t="s">
        <v>110</v>
      </c>
      <c r="C57" s="2">
        <v>16127564</v>
      </c>
      <c r="D57" s="9">
        <v>1.1599999999999999</v>
      </c>
      <c r="E57" s="9">
        <v>98.8</v>
      </c>
      <c r="F57" s="9">
        <v>1.2</v>
      </c>
      <c r="G57" s="9">
        <v>537</v>
      </c>
      <c r="H57" s="9">
        <v>100</v>
      </c>
      <c r="I57" s="9">
        <v>95.21</v>
      </c>
      <c r="J57" s="17">
        <v>33.340000000000003</v>
      </c>
    </row>
    <row r="58" spans="1:10" x14ac:dyDescent="0.3">
      <c r="A58" s="16" t="s">
        <v>111</v>
      </c>
      <c r="B58" s="9" t="s">
        <v>112</v>
      </c>
      <c r="C58" s="2">
        <v>20136229</v>
      </c>
      <c r="D58" s="9">
        <v>1.47</v>
      </c>
      <c r="E58" s="9">
        <v>98.93</v>
      </c>
      <c r="F58" s="9">
        <v>1.07</v>
      </c>
      <c r="G58" s="9">
        <v>679</v>
      </c>
      <c r="H58" s="9">
        <v>100</v>
      </c>
      <c r="I58" s="9">
        <v>95.2</v>
      </c>
      <c r="J58" s="17">
        <v>33.33</v>
      </c>
    </row>
    <row r="59" spans="1:10" x14ac:dyDescent="0.3">
      <c r="A59" s="16" t="s">
        <v>113</v>
      </c>
      <c r="B59" s="9" t="s">
        <v>114</v>
      </c>
      <c r="C59" s="2">
        <v>17601277</v>
      </c>
      <c r="D59" s="9">
        <v>1.26</v>
      </c>
      <c r="E59" s="9">
        <v>99</v>
      </c>
      <c r="F59" s="9">
        <v>1</v>
      </c>
      <c r="G59" s="9">
        <v>583</v>
      </c>
      <c r="H59" s="9">
        <v>100</v>
      </c>
      <c r="I59" s="9">
        <v>95.05</v>
      </c>
      <c r="J59" s="17">
        <v>33.31</v>
      </c>
    </row>
    <row r="60" spans="1:10" x14ac:dyDescent="0.3">
      <c r="A60" s="16" t="s">
        <v>115</v>
      </c>
      <c r="B60" s="9" t="s">
        <v>116</v>
      </c>
      <c r="C60" s="2">
        <v>16760713</v>
      </c>
      <c r="D60" s="9">
        <v>1.2</v>
      </c>
      <c r="E60" s="9">
        <v>98.16</v>
      </c>
      <c r="F60" s="9">
        <v>1.84</v>
      </c>
      <c r="G60" s="9">
        <v>554</v>
      </c>
      <c r="H60" s="9">
        <v>100</v>
      </c>
      <c r="I60" s="9">
        <v>95.24</v>
      </c>
      <c r="J60" s="17">
        <v>33.340000000000003</v>
      </c>
    </row>
    <row r="61" spans="1:10" x14ac:dyDescent="0.3">
      <c r="A61" s="16" t="s">
        <v>117</v>
      </c>
      <c r="B61" s="9" t="s">
        <v>118</v>
      </c>
      <c r="C61" s="2">
        <v>15584867</v>
      </c>
      <c r="D61" s="9">
        <v>1.1499999999999999</v>
      </c>
      <c r="E61" s="9">
        <v>98.57</v>
      </c>
      <c r="F61" s="9">
        <v>1.43</v>
      </c>
      <c r="G61" s="9">
        <v>531</v>
      </c>
      <c r="H61" s="9">
        <v>100</v>
      </c>
      <c r="I61" s="9">
        <v>95.68</v>
      </c>
      <c r="J61" s="17">
        <v>33.4</v>
      </c>
    </row>
    <row r="62" spans="1:10" x14ac:dyDescent="0.3">
      <c r="A62" s="16" t="s">
        <v>119</v>
      </c>
      <c r="B62" s="9" t="s">
        <v>120</v>
      </c>
      <c r="C62" s="2">
        <v>19335483</v>
      </c>
      <c r="D62" s="9">
        <v>1.4</v>
      </c>
      <c r="E62" s="9">
        <v>98.66</v>
      </c>
      <c r="F62" s="9">
        <v>1.34</v>
      </c>
      <c r="G62" s="9">
        <v>646</v>
      </c>
      <c r="H62" s="9">
        <v>100</v>
      </c>
      <c r="I62" s="9">
        <v>95.19</v>
      </c>
      <c r="J62" s="17">
        <v>33.33</v>
      </c>
    </row>
    <row r="63" spans="1:10" x14ac:dyDescent="0.3">
      <c r="A63" s="16" t="s">
        <v>121</v>
      </c>
      <c r="B63" s="9" t="s">
        <v>122</v>
      </c>
      <c r="C63" s="2">
        <v>16446826</v>
      </c>
      <c r="D63" s="9">
        <v>1.19</v>
      </c>
      <c r="E63" s="9">
        <v>96.42</v>
      </c>
      <c r="F63" s="9">
        <v>3.58</v>
      </c>
      <c r="G63" s="9">
        <v>548</v>
      </c>
      <c r="H63" s="9">
        <v>100</v>
      </c>
      <c r="I63" s="9">
        <v>95.2</v>
      </c>
      <c r="J63" s="17">
        <v>33.33</v>
      </c>
    </row>
    <row r="64" spans="1:10" x14ac:dyDescent="0.3">
      <c r="A64" s="16" t="s">
        <v>123</v>
      </c>
      <c r="B64" s="9" t="s">
        <v>124</v>
      </c>
      <c r="C64" s="2">
        <v>18256580</v>
      </c>
      <c r="D64" s="9">
        <v>1.31</v>
      </c>
      <c r="E64" s="9">
        <v>98.33</v>
      </c>
      <c r="F64" s="9">
        <v>1.67</v>
      </c>
      <c r="G64" s="9">
        <v>605</v>
      </c>
      <c r="H64" s="9">
        <v>100</v>
      </c>
      <c r="I64" s="9">
        <v>95.19</v>
      </c>
      <c r="J64" s="17">
        <v>33.33</v>
      </c>
    </row>
    <row r="65" spans="1:10" x14ac:dyDescent="0.3">
      <c r="A65" s="16" t="s">
        <v>125</v>
      </c>
      <c r="B65" s="9" t="s">
        <v>126</v>
      </c>
      <c r="C65" s="2">
        <v>16959467</v>
      </c>
      <c r="D65" s="9">
        <v>1.21</v>
      </c>
      <c r="E65" s="9">
        <v>97.63</v>
      </c>
      <c r="F65" s="9">
        <v>2.37</v>
      </c>
      <c r="G65" s="9">
        <v>558</v>
      </c>
      <c r="H65" s="9">
        <v>100</v>
      </c>
      <c r="I65" s="9">
        <v>95.15</v>
      </c>
      <c r="J65" s="17">
        <v>33.33</v>
      </c>
    </row>
    <row r="66" spans="1:10" x14ac:dyDescent="0.3">
      <c r="A66" s="16" t="s">
        <v>127</v>
      </c>
      <c r="B66" s="9" t="s">
        <v>128</v>
      </c>
      <c r="C66" s="2">
        <v>16644636</v>
      </c>
      <c r="D66" s="9">
        <v>1.2</v>
      </c>
      <c r="E66" s="9">
        <v>98.42</v>
      </c>
      <c r="F66" s="9">
        <v>1.58</v>
      </c>
      <c r="G66" s="9">
        <v>556</v>
      </c>
      <c r="H66" s="9">
        <v>100</v>
      </c>
      <c r="I66" s="9">
        <v>95.88</v>
      </c>
      <c r="J66" s="17">
        <v>33.42</v>
      </c>
    </row>
    <row r="67" spans="1:10" x14ac:dyDescent="0.3">
      <c r="A67" s="16" t="s">
        <v>129</v>
      </c>
      <c r="B67" s="9" t="s">
        <v>130</v>
      </c>
      <c r="C67" s="2">
        <v>16837363</v>
      </c>
      <c r="D67" s="9">
        <v>1.23</v>
      </c>
      <c r="E67" s="9">
        <v>98.82</v>
      </c>
      <c r="F67" s="9">
        <v>1.18</v>
      </c>
      <c r="G67" s="9">
        <v>568</v>
      </c>
      <c r="H67" s="9">
        <v>100</v>
      </c>
      <c r="I67" s="9">
        <v>96.03</v>
      </c>
      <c r="J67" s="17">
        <v>33.44</v>
      </c>
    </row>
    <row r="68" spans="1:10" x14ac:dyDescent="0.3">
      <c r="A68" s="16" t="s">
        <v>131</v>
      </c>
      <c r="B68" s="9" t="s">
        <v>132</v>
      </c>
      <c r="C68" s="2">
        <v>17184768</v>
      </c>
      <c r="D68" s="9">
        <v>1.26</v>
      </c>
      <c r="E68" s="9">
        <v>98.92</v>
      </c>
      <c r="F68" s="9">
        <v>1.08</v>
      </c>
      <c r="G68" s="9">
        <v>580</v>
      </c>
      <c r="H68" s="9">
        <v>100</v>
      </c>
      <c r="I68" s="9">
        <v>95.77</v>
      </c>
      <c r="J68" s="17">
        <v>33.409999999999997</v>
      </c>
    </row>
    <row r="69" spans="1:10" x14ac:dyDescent="0.3">
      <c r="A69" s="16" t="s">
        <v>133</v>
      </c>
      <c r="B69" s="9" t="s">
        <v>134</v>
      </c>
      <c r="C69" s="2">
        <v>16859234</v>
      </c>
      <c r="D69" s="9">
        <v>1.24</v>
      </c>
      <c r="E69" s="9">
        <v>98.35</v>
      </c>
      <c r="F69" s="9">
        <v>1.65</v>
      </c>
      <c r="G69" s="9">
        <v>570</v>
      </c>
      <c r="H69" s="9">
        <v>100</v>
      </c>
      <c r="I69" s="9">
        <v>95.48</v>
      </c>
      <c r="J69" s="17">
        <v>33.36</v>
      </c>
    </row>
    <row r="70" spans="1:10" x14ac:dyDescent="0.3">
      <c r="A70" s="16" t="s">
        <v>135</v>
      </c>
      <c r="B70" s="9" t="s">
        <v>136</v>
      </c>
      <c r="C70" s="2">
        <v>14284041</v>
      </c>
      <c r="D70" s="9">
        <v>1.04</v>
      </c>
      <c r="E70" s="9">
        <v>97.09</v>
      </c>
      <c r="F70" s="9">
        <v>2.91</v>
      </c>
      <c r="G70" s="9">
        <v>481</v>
      </c>
      <c r="H70" s="9">
        <v>100</v>
      </c>
      <c r="I70" s="9">
        <v>95.2</v>
      </c>
      <c r="J70" s="17">
        <v>33.33</v>
      </c>
    </row>
    <row r="71" spans="1:10" x14ac:dyDescent="0.3">
      <c r="A71" s="16" t="s">
        <v>137</v>
      </c>
      <c r="B71" s="9" t="s">
        <v>138</v>
      </c>
      <c r="C71" s="2">
        <v>18177170</v>
      </c>
      <c r="D71" s="9">
        <v>1.3</v>
      </c>
      <c r="E71" s="9">
        <v>97.74</v>
      </c>
      <c r="F71" s="9">
        <v>2.2599999999999998</v>
      </c>
      <c r="G71" s="9">
        <v>602</v>
      </c>
      <c r="H71" s="9">
        <v>100</v>
      </c>
      <c r="I71" s="9">
        <v>95.84</v>
      </c>
      <c r="J71" s="17">
        <v>33.42</v>
      </c>
    </row>
    <row r="72" spans="1:10" x14ac:dyDescent="0.3">
      <c r="A72" s="16" t="s">
        <v>139</v>
      </c>
      <c r="B72" s="9" t="s">
        <v>140</v>
      </c>
      <c r="C72" s="2">
        <v>17810981</v>
      </c>
      <c r="D72" s="9">
        <v>1.26</v>
      </c>
      <c r="E72" s="9">
        <v>96.91</v>
      </c>
      <c r="F72" s="9">
        <v>3.09</v>
      </c>
      <c r="G72" s="9">
        <v>583</v>
      </c>
      <c r="H72" s="9">
        <v>100</v>
      </c>
      <c r="I72" s="9">
        <v>95.22</v>
      </c>
      <c r="J72" s="17">
        <v>33.340000000000003</v>
      </c>
    </row>
    <row r="73" spans="1:10" x14ac:dyDescent="0.3">
      <c r="A73" s="16" t="s">
        <v>141</v>
      </c>
      <c r="B73" s="9" t="s">
        <v>142</v>
      </c>
      <c r="C73" s="2">
        <v>15204708</v>
      </c>
      <c r="D73" s="9">
        <v>1.0900000000000001</v>
      </c>
      <c r="E73" s="9">
        <v>99.14</v>
      </c>
      <c r="F73" s="9">
        <v>0.86</v>
      </c>
      <c r="G73" s="9">
        <v>501</v>
      </c>
      <c r="H73" s="9">
        <v>100</v>
      </c>
      <c r="I73" s="9">
        <v>95.18</v>
      </c>
      <c r="J73" s="17">
        <v>33.33</v>
      </c>
    </row>
    <row r="74" spans="1:10" x14ac:dyDescent="0.3">
      <c r="A74" s="16" t="s">
        <v>143</v>
      </c>
      <c r="B74" s="9" t="s">
        <v>144</v>
      </c>
      <c r="C74" s="2">
        <v>18642947</v>
      </c>
      <c r="D74" s="9">
        <v>1.34</v>
      </c>
      <c r="E74" s="9">
        <v>96.32</v>
      </c>
      <c r="F74" s="9">
        <v>3.68</v>
      </c>
      <c r="G74" s="9">
        <v>617</v>
      </c>
      <c r="H74" s="9">
        <v>100</v>
      </c>
      <c r="I74" s="9">
        <v>95.07</v>
      </c>
      <c r="J74" s="17">
        <v>33.31</v>
      </c>
    </row>
    <row r="75" spans="1:10" x14ac:dyDescent="0.3">
      <c r="A75" s="16" t="s">
        <v>145</v>
      </c>
      <c r="B75" s="9" t="s">
        <v>146</v>
      </c>
      <c r="C75" s="2">
        <v>17041036</v>
      </c>
      <c r="D75" s="9">
        <v>1.25</v>
      </c>
      <c r="E75" s="9">
        <v>97.37</v>
      </c>
      <c r="F75" s="9">
        <v>2.63</v>
      </c>
      <c r="G75" s="9">
        <v>577</v>
      </c>
      <c r="H75" s="9">
        <v>100</v>
      </c>
      <c r="I75" s="9">
        <v>95.32</v>
      </c>
      <c r="J75" s="17">
        <v>33.340000000000003</v>
      </c>
    </row>
    <row r="76" spans="1:10" x14ac:dyDescent="0.3">
      <c r="A76" s="16" t="s">
        <v>147</v>
      </c>
      <c r="B76" s="9" t="s">
        <v>148</v>
      </c>
      <c r="C76" s="2">
        <v>18905841</v>
      </c>
      <c r="D76" s="9">
        <v>1.35</v>
      </c>
      <c r="E76" s="9">
        <v>98.96</v>
      </c>
      <c r="F76" s="9">
        <v>1.04</v>
      </c>
      <c r="G76" s="9">
        <v>623</v>
      </c>
      <c r="H76" s="9">
        <v>100</v>
      </c>
      <c r="I76" s="9">
        <v>95.21</v>
      </c>
      <c r="J76" s="17">
        <v>33.340000000000003</v>
      </c>
    </row>
    <row r="77" spans="1:10" x14ac:dyDescent="0.3">
      <c r="A77" s="16" t="s">
        <v>149</v>
      </c>
      <c r="B77" s="9" t="s">
        <v>150</v>
      </c>
      <c r="C77" s="2">
        <v>19993490</v>
      </c>
      <c r="D77" s="9">
        <v>1.41</v>
      </c>
      <c r="E77" s="9">
        <v>98.11</v>
      </c>
      <c r="F77" s="9">
        <v>1.89</v>
      </c>
      <c r="G77" s="9">
        <v>651</v>
      </c>
      <c r="H77" s="9">
        <v>100</v>
      </c>
      <c r="I77" s="9">
        <v>95.18</v>
      </c>
      <c r="J77" s="17">
        <v>33.33</v>
      </c>
    </row>
    <row r="78" spans="1:10" x14ac:dyDescent="0.3">
      <c r="A78" s="16" t="s">
        <v>151</v>
      </c>
      <c r="B78" s="9" t="s">
        <v>152</v>
      </c>
      <c r="C78" s="2">
        <v>15955043</v>
      </c>
      <c r="D78" s="9">
        <v>1.1599999999999999</v>
      </c>
      <c r="E78" s="9">
        <v>95.72</v>
      </c>
      <c r="F78" s="9">
        <v>4.28</v>
      </c>
      <c r="G78" s="9">
        <v>534</v>
      </c>
      <c r="H78" s="9">
        <v>100</v>
      </c>
      <c r="I78" s="9">
        <v>95.38</v>
      </c>
      <c r="J78" s="17">
        <v>33.36</v>
      </c>
    </row>
    <row r="79" spans="1:10" x14ac:dyDescent="0.3">
      <c r="A79" s="16" t="s">
        <v>153</v>
      </c>
      <c r="B79" s="9" t="s">
        <v>154</v>
      </c>
      <c r="C79" s="2">
        <v>17761530</v>
      </c>
      <c r="D79" s="9">
        <v>1.29</v>
      </c>
      <c r="E79" s="9">
        <v>97.02</v>
      </c>
      <c r="F79" s="9">
        <v>2.98</v>
      </c>
      <c r="G79" s="9">
        <v>597</v>
      </c>
      <c r="H79" s="9">
        <v>100</v>
      </c>
      <c r="I79" s="9">
        <v>95.9</v>
      </c>
      <c r="J79" s="17">
        <v>33.43</v>
      </c>
    </row>
    <row r="80" spans="1:10" x14ac:dyDescent="0.3">
      <c r="A80" s="16" t="s">
        <v>155</v>
      </c>
      <c r="B80" s="9" t="s">
        <v>156</v>
      </c>
      <c r="C80" s="2">
        <v>18621428</v>
      </c>
      <c r="D80" s="9">
        <v>1.34</v>
      </c>
      <c r="E80" s="9">
        <v>98.27</v>
      </c>
      <c r="F80" s="9">
        <v>1.73</v>
      </c>
      <c r="G80" s="9">
        <v>617</v>
      </c>
      <c r="H80" s="9">
        <v>100</v>
      </c>
      <c r="I80" s="9">
        <v>95.13</v>
      </c>
      <c r="J80" s="17">
        <v>33.32</v>
      </c>
    </row>
    <row r="81" spans="1:10" x14ac:dyDescent="0.3">
      <c r="A81" s="16" t="s">
        <v>157</v>
      </c>
      <c r="B81" s="9" t="s">
        <v>158</v>
      </c>
      <c r="C81" s="2">
        <v>20124388</v>
      </c>
      <c r="D81" s="9">
        <v>1.47</v>
      </c>
      <c r="E81" s="9">
        <v>99.15</v>
      </c>
      <c r="F81" s="9">
        <v>0.85</v>
      </c>
      <c r="G81" s="9">
        <v>676</v>
      </c>
      <c r="H81" s="9">
        <v>100</v>
      </c>
      <c r="I81" s="9">
        <v>95.18</v>
      </c>
      <c r="J81" s="17">
        <v>33.33</v>
      </c>
    </row>
    <row r="82" spans="1:10" x14ac:dyDescent="0.3">
      <c r="A82" s="16" t="s">
        <v>159</v>
      </c>
      <c r="B82" s="9" t="s">
        <v>160</v>
      </c>
      <c r="C82" s="2">
        <v>18987760</v>
      </c>
      <c r="D82" s="9">
        <v>1.39</v>
      </c>
      <c r="E82" s="9">
        <v>97.51</v>
      </c>
      <c r="F82" s="9">
        <v>2.4900000000000002</v>
      </c>
      <c r="G82" s="9">
        <v>644</v>
      </c>
      <c r="H82" s="9">
        <v>100</v>
      </c>
      <c r="I82" s="9">
        <v>95.43</v>
      </c>
      <c r="J82" s="17">
        <v>33.36</v>
      </c>
    </row>
    <row r="83" spans="1:10" x14ac:dyDescent="0.3">
      <c r="A83" s="16" t="s">
        <v>161</v>
      </c>
      <c r="B83" s="9" t="s">
        <v>162</v>
      </c>
      <c r="C83" s="2">
        <v>15650745</v>
      </c>
      <c r="D83" s="9">
        <v>1.1299999999999999</v>
      </c>
      <c r="E83" s="9">
        <v>98.45</v>
      </c>
      <c r="F83" s="9">
        <v>1.55</v>
      </c>
      <c r="G83" s="9">
        <v>521</v>
      </c>
      <c r="H83" s="9">
        <v>100</v>
      </c>
      <c r="I83" s="9">
        <v>95.13</v>
      </c>
      <c r="J83" s="17">
        <v>33.32</v>
      </c>
    </row>
    <row r="84" spans="1:10" ht="15" thickBot="1" x14ac:dyDescent="0.35">
      <c r="A84" s="18" t="s">
        <v>163</v>
      </c>
      <c r="B84" s="19" t="s">
        <v>164</v>
      </c>
      <c r="C84" s="20">
        <v>19892880</v>
      </c>
      <c r="D84" s="19">
        <v>1.43</v>
      </c>
      <c r="E84" s="19">
        <v>98.58</v>
      </c>
      <c r="F84" s="19">
        <v>1.42</v>
      </c>
      <c r="G84" s="19">
        <v>660</v>
      </c>
      <c r="H84" s="19">
        <v>100</v>
      </c>
      <c r="I84" s="19">
        <v>95.12</v>
      </c>
      <c r="J84" s="21">
        <v>33.32</v>
      </c>
    </row>
    <row r="85" spans="1:10" x14ac:dyDescent="0.3">
      <c r="B85" s="11" t="s">
        <v>168</v>
      </c>
      <c r="C85" s="10">
        <f>SUM(C13:C84)</f>
        <v>1272738108</v>
      </c>
    </row>
    <row r="88" spans="1:10" ht="15" thickBot="1" x14ac:dyDescent="0.35"/>
    <row r="89" spans="1:10" x14ac:dyDescent="0.3">
      <c r="A89" s="45" t="s">
        <v>6</v>
      </c>
      <c r="B89" s="47" t="s">
        <v>7</v>
      </c>
      <c r="C89" s="47" t="s">
        <v>8</v>
      </c>
      <c r="D89" s="22" t="s">
        <v>9</v>
      </c>
      <c r="E89" s="22" t="s">
        <v>11</v>
      </c>
      <c r="F89" s="22" t="s">
        <v>13</v>
      </c>
      <c r="G89" s="47" t="s">
        <v>14</v>
      </c>
      <c r="H89" s="22" t="s">
        <v>15</v>
      </c>
      <c r="I89" s="22" t="s">
        <v>17</v>
      </c>
      <c r="J89" s="23" t="s">
        <v>19</v>
      </c>
    </row>
    <row r="90" spans="1:10" ht="15" thickBot="1" x14ac:dyDescent="0.35">
      <c r="A90" s="46"/>
      <c r="B90" s="48"/>
      <c r="C90" s="48"/>
      <c r="D90" s="24" t="s">
        <v>10</v>
      </c>
      <c r="E90" s="24" t="s">
        <v>12</v>
      </c>
      <c r="F90" s="24" t="s">
        <v>12</v>
      </c>
      <c r="G90" s="48"/>
      <c r="H90" s="24" t="s">
        <v>16</v>
      </c>
      <c r="I90" s="24" t="s">
        <v>18</v>
      </c>
      <c r="J90" s="25" t="s">
        <v>20</v>
      </c>
    </row>
    <row r="91" spans="1:10" ht="15" thickBot="1" x14ac:dyDescent="0.35">
      <c r="A91" s="26" t="s">
        <v>165</v>
      </c>
      <c r="B91" s="27" t="s">
        <v>166</v>
      </c>
      <c r="C91" s="28">
        <v>114294740</v>
      </c>
      <c r="D91" s="29">
        <v>8.16</v>
      </c>
      <c r="E91" s="29">
        <v>100</v>
      </c>
      <c r="F91" s="29" t="s">
        <v>167</v>
      </c>
      <c r="G91" s="28">
        <v>3767</v>
      </c>
      <c r="H91" s="29">
        <v>24.71</v>
      </c>
      <c r="I91" s="29">
        <v>85.03</v>
      </c>
      <c r="J91" s="30">
        <v>31.54</v>
      </c>
    </row>
    <row r="94" spans="1:10" ht="72" x14ac:dyDescent="0.3">
      <c r="A94" s="1" t="s">
        <v>169</v>
      </c>
    </row>
    <row r="95" spans="1:10" ht="15" thickBot="1" x14ac:dyDescent="0.35"/>
    <row r="96" spans="1:10" ht="15" thickBot="1" x14ac:dyDescent="0.35">
      <c r="A96" s="41" t="s">
        <v>5</v>
      </c>
      <c r="B96" s="42" t="s">
        <v>170</v>
      </c>
      <c r="C96" s="42" t="s">
        <v>171</v>
      </c>
      <c r="D96" s="42" t="s">
        <v>5</v>
      </c>
      <c r="E96" s="42" t="s">
        <v>170</v>
      </c>
      <c r="F96" s="43" t="s">
        <v>171</v>
      </c>
    </row>
    <row r="97" spans="1:6" x14ac:dyDescent="0.3">
      <c r="A97" s="49">
        <v>1</v>
      </c>
      <c r="B97" s="38">
        <v>30170780</v>
      </c>
      <c r="C97" s="39" t="s">
        <v>172</v>
      </c>
      <c r="D97" s="52">
        <v>2</v>
      </c>
      <c r="E97" s="38">
        <v>33169200</v>
      </c>
      <c r="F97" s="40" t="s">
        <v>172</v>
      </c>
    </row>
    <row r="98" spans="1:6" x14ac:dyDescent="0.3">
      <c r="A98" s="50"/>
      <c r="B98" s="31">
        <v>361120</v>
      </c>
      <c r="C98" s="32" t="s">
        <v>173</v>
      </c>
      <c r="D98" s="53"/>
      <c r="E98" s="31">
        <v>536720</v>
      </c>
      <c r="F98" s="33" t="s">
        <v>173</v>
      </c>
    </row>
    <row r="99" spans="1:6" x14ac:dyDescent="0.3">
      <c r="A99" s="50"/>
      <c r="B99" s="31">
        <v>326040</v>
      </c>
      <c r="C99" s="32" t="s">
        <v>174</v>
      </c>
      <c r="D99" s="53"/>
      <c r="E99" s="31">
        <v>357360</v>
      </c>
      <c r="F99" s="33" t="s">
        <v>174</v>
      </c>
    </row>
    <row r="100" spans="1:6" x14ac:dyDescent="0.3">
      <c r="A100" s="50"/>
      <c r="B100" s="31">
        <v>179820</v>
      </c>
      <c r="C100" s="32" t="s">
        <v>175</v>
      </c>
      <c r="D100" s="53"/>
      <c r="E100" s="31">
        <v>193200</v>
      </c>
      <c r="F100" s="33" t="s">
        <v>175</v>
      </c>
    </row>
    <row r="101" spans="1:6" x14ac:dyDescent="0.3">
      <c r="A101" s="50"/>
      <c r="B101" s="31">
        <v>154260</v>
      </c>
      <c r="C101" s="32" t="s">
        <v>176</v>
      </c>
      <c r="D101" s="53"/>
      <c r="E101" s="31">
        <v>167180</v>
      </c>
      <c r="F101" s="33" t="s">
        <v>177</v>
      </c>
    </row>
    <row r="102" spans="1:6" x14ac:dyDescent="0.3">
      <c r="A102" s="50"/>
      <c r="B102" s="31">
        <v>142340</v>
      </c>
      <c r="C102" s="32" t="s">
        <v>178</v>
      </c>
      <c r="D102" s="53"/>
      <c r="E102" s="31">
        <v>161000</v>
      </c>
      <c r="F102" s="33" t="s">
        <v>178</v>
      </c>
    </row>
    <row r="103" spans="1:6" x14ac:dyDescent="0.3">
      <c r="A103" s="50"/>
      <c r="B103" s="31">
        <v>116040</v>
      </c>
      <c r="C103" s="32" t="s">
        <v>177</v>
      </c>
      <c r="D103" s="53"/>
      <c r="E103" s="31">
        <v>143760</v>
      </c>
      <c r="F103" s="33" t="s">
        <v>176</v>
      </c>
    </row>
    <row r="104" spans="1:6" x14ac:dyDescent="0.3">
      <c r="A104" s="50"/>
      <c r="B104" s="31">
        <v>114680</v>
      </c>
      <c r="C104" s="32" t="s">
        <v>179</v>
      </c>
      <c r="D104" s="53"/>
      <c r="E104" s="31">
        <v>139320</v>
      </c>
      <c r="F104" s="33" t="s">
        <v>180</v>
      </c>
    </row>
    <row r="105" spans="1:6" x14ac:dyDescent="0.3">
      <c r="A105" s="50"/>
      <c r="B105" s="31">
        <v>99520</v>
      </c>
      <c r="C105" s="32" t="s">
        <v>181</v>
      </c>
      <c r="D105" s="53"/>
      <c r="E105" s="31">
        <v>135740</v>
      </c>
      <c r="F105" s="33" t="s">
        <v>179</v>
      </c>
    </row>
    <row r="106" spans="1:6" ht="15" thickBot="1" x14ac:dyDescent="0.35">
      <c r="A106" s="51"/>
      <c r="B106" s="34">
        <v>87680</v>
      </c>
      <c r="C106" s="35" t="s">
        <v>182</v>
      </c>
      <c r="D106" s="54"/>
      <c r="E106" s="34">
        <v>105260</v>
      </c>
      <c r="F106" s="37" t="s">
        <v>181</v>
      </c>
    </row>
  </sheetData>
  <mergeCells count="10">
    <mergeCell ref="A11:A12"/>
    <mergeCell ref="B11:B12"/>
    <mergeCell ref="C11:C12"/>
    <mergeCell ref="G11:G12"/>
    <mergeCell ref="A89:A90"/>
    <mergeCell ref="B89:B90"/>
    <mergeCell ref="C89:C90"/>
    <mergeCell ref="G89:G90"/>
    <mergeCell ref="A97:A106"/>
    <mergeCell ref="D97:D1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6DDD-F031-4946-AA2C-BE40B365385B}">
  <dimension ref="A1:J107"/>
  <sheetViews>
    <sheetView workbookViewId="0">
      <selection activeCell="E50" sqref="E50"/>
    </sheetView>
  </sheetViews>
  <sheetFormatPr defaultRowHeight="14.4" x14ac:dyDescent="0.3"/>
  <cols>
    <col min="1" max="1" width="16.77734375" customWidth="1"/>
    <col min="2" max="3" width="20.77734375" customWidth="1"/>
    <col min="4" max="5" width="16.77734375" customWidth="1"/>
    <col min="6" max="6" width="20.77734375" customWidth="1"/>
    <col min="7" max="10" width="16.77734375" customWidth="1"/>
  </cols>
  <sheetData>
    <row r="1" spans="1:10" ht="24" x14ac:dyDescent="0.5">
      <c r="A1" s="44" t="s">
        <v>185</v>
      </c>
    </row>
    <row r="4" spans="1:10" ht="72" x14ac:dyDescent="0.3">
      <c r="A4" s="1" t="s">
        <v>0</v>
      </c>
    </row>
    <row r="5" spans="1:10" ht="15" thickBot="1" x14ac:dyDescent="0.35"/>
    <row r="6" spans="1:10" x14ac:dyDescent="0.3">
      <c r="A6" s="3" t="s">
        <v>1</v>
      </c>
      <c r="B6" s="4" t="s">
        <v>2</v>
      </c>
      <c r="C6" s="5" t="s">
        <v>3</v>
      </c>
    </row>
    <row r="7" spans="1:10" ht="15" thickBot="1" x14ac:dyDescent="0.35">
      <c r="A7" s="6">
        <v>1695085056</v>
      </c>
      <c r="B7" s="7">
        <v>1376701023</v>
      </c>
      <c r="C7" s="8">
        <v>93616</v>
      </c>
    </row>
    <row r="9" spans="1:10" ht="48" x14ac:dyDescent="0.3">
      <c r="A9" s="1" t="s">
        <v>4</v>
      </c>
    </row>
    <row r="10" spans="1:10" ht="15" thickBot="1" x14ac:dyDescent="0.35"/>
    <row r="11" spans="1:10" x14ac:dyDescent="0.3">
      <c r="A11" s="61" t="s">
        <v>6</v>
      </c>
      <c r="B11" s="62" t="s">
        <v>7</v>
      </c>
      <c r="C11" s="62" t="s">
        <v>8</v>
      </c>
      <c r="D11" s="63" t="s">
        <v>9</v>
      </c>
      <c r="E11" s="63" t="s">
        <v>11</v>
      </c>
      <c r="F11" s="63" t="s">
        <v>13</v>
      </c>
      <c r="G11" s="62" t="s">
        <v>14</v>
      </c>
      <c r="H11" s="63" t="s">
        <v>15</v>
      </c>
      <c r="I11" s="63" t="s">
        <v>17</v>
      </c>
      <c r="J11" s="64" t="s">
        <v>19</v>
      </c>
    </row>
    <row r="12" spans="1:10" ht="15" thickBot="1" x14ac:dyDescent="0.35">
      <c r="A12" s="51"/>
      <c r="B12" s="54"/>
      <c r="C12" s="54"/>
      <c r="D12" s="36" t="s">
        <v>10</v>
      </c>
      <c r="E12" s="36" t="s">
        <v>12</v>
      </c>
      <c r="F12" s="36" t="s">
        <v>12</v>
      </c>
      <c r="G12" s="54"/>
      <c r="H12" s="36" t="s">
        <v>16</v>
      </c>
      <c r="I12" s="36" t="s">
        <v>18</v>
      </c>
      <c r="J12" s="68" t="s">
        <v>20</v>
      </c>
    </row>
    <row r="13" spans="1:10" x14ac:dyDescent="0.3">
      <c r="A13" s="67" t="s">
        <v>21</v>
      </c>
      <c r="B13" s="39" t="s">
        <v>22</v>
      </c>
      <c r="C13" s="38">
        <v>18458818</v>
      </c>
      <c r="D13" s="39">
        <v>1.35</v>
      </c>
      <c r="E13" s="39">
        <v>98.21</v>
      </c>
      <c r="F13" s="39">
        <v>1.79</v>
      </c>
      <c r="G13" s="39">
        <v>620</v>
      </c>
      <c r="H13" s="39">
        <v>100</v>
      </c>
      <c r="I13" s="39">
        <v>95.56</v>
      </c>
      <c r="J13" s="40">
        <v>33.36</v>
      </c>
    </row>
    <row r="14" spans="1:10" x14ac:dyDescent="0.3">
      <c r="A14" s="65" t="s">
        <v>23</v>
      </c>
      <c r="B14" s="32" t="s">
        <v>24</v>
      </c>
      <c r="C14" s="31">
        <v>15616148</v>
      </c>
      <c r="D14" s="32">
        <v>1.1100000000000001</v>
      </c>
      <c r="E14" s="32">
        <v>97.02</v>
      </c>
      <c r="F14" s="32">
        <v>2.98</v>
      </c>
      <c r="G14" s="32">
        <v>510</v>
      </c>
      <c r="H14" s="32">
        <v>100</v>
      </c>
      <c r="I14" s="32">
        <v>95.32</v>
      </c>
      <c r="J14" s="33">
        <v>33.340000000000003</v>
      </c>
    </row>
    <row r="15" spans="1:10" x14ac:dyDescent="0.3">
      <c r="A15" s="65" t="s">
        <v>25</v>
      </c>
      <c r="B15" s="32" t="s">
        <v>26</v>
      </c>
      <c r="C15" s="31">
        <v>18512429</v>
      </c>
      <c r="D15" s="32">
        <v>1.37</v>
      </c>
      <c r="E15" s="32">
        <v>98.67</v>
      </c>
      <c r="F15" s="32">
        <v>1.33</v>
      </c>
      <c r="G15" s="32">
        <v>628</v>
      </c>
      <c r="H15" s="32">
        <v>100</v>
      </c>
      <c r="I15" s="32">
        <v>95.7</v>
      </c>
      <c r="J15" s="33">
        <v>33.380000000000003</v>
      </c>
    </row>
    <row r="16" spans="1:10" x14ac:dyDescent="0.3">
      <c r="A16" s="65" t="s">
        <v>27</v>
      </c>
      <c r="B16" s="32" t="s">
        <v>28</v>
      </c>
      <c r="C16" s="31">
        <v>16852874</v>
      </c>
      <c r="D16" s="32">
        <v>1.19</v>
      </c>
      <c r="E16" s="32">
        <v>96.45</v>
      </c>
      <c r="F16" s="32">
        <v>3.55</v>
      </c>
      <c r="G16" s="32">
        <v>547</v>
      </c>
      <c r="H16" s="32">
        <v>100</v>
      </c>
      <c r="I16" s="32">
        <v>95.27</v>
      </c>
      <c r="J16" s="33">
        <v>33.33</v>
      </c>
    </row>
    <row r="17" spans="1:10" x14ac:dyDescent="0.3">
      <c r="A17" s="65" t="s">
        <v>29</v>
      </c>
      <c r="B17" s="32" t="s">
        <v>30</v>
      </c>
      <c r="C17" s="31">
        <v>15785680</v>
      </c>
      <c r="D17" s="32">
        <v>1.1299999999999999</v>
      </c>
      <c r="E17" s="32">
        <v>97.4</v>
      </c>
      <c r="F17" s="32">
        <v>2.6</v>
      </c>
      <c r="G17" s="32">
        <v>520</v>
      </c>
      <c r="H17" s="32">
        <v>100</v>
      </c>
      <c r="I17" s="32">
        <v>95.59</v>
      </c>
      <c r="J17" s="33">
        <v>33.36</v>
      </c>
    </row>
    <row r="18" spans="1:10" x14ac:dyDescent="0.3">
      <c r="A18" s="65" t="s">
        <v>31</v>
      </c>
      <c r="B18" s="32" t="s">
        <v>32</v>
      </c>
      <c r="C18" s="31">
        <v>20471833</v>
      </c>
      <c r="D18" s="32">
        <v>1.5</v>
      </c>
      <c r="E18" s="32">
        <v>96.15</v>
      </c>
      <c r="F18" s="32">
        <v>3.85</v>
      </c>
      <c r="G18" s="32">
        <v>686</v>
      </c>
      <c r="H18" s="32">
        <v>100</v>
      </c>
      <c r="I18" s="32">
        <v>95.33</v>
      </c>
      <c r="J18" s="33">
        <v>33.33</v>
      </c>
    </row>
    <row r="19" spans="1:10" x14ac:dyDescent="0.3">
      <c r="A19" s="65" t="s">
        <v>33</v>
      </c>
      <c r="B19" s="32" t="s">
        <v>34</v>
      </c>
      <c r="C19" s="31">
        <v>17910440</v>
      </c>
      <c r="D19" s="32">
        <v>1.29</v>
      </c>
      <c r="E19" s="32">
        <v>99.1</v>
      </c>
      <c r="F19" s="32">
        <v>0.9</v>
      </c>
      <c r="G19" s="32">
        <v>592</v>
      </c>
      <c r="H19" s="32">
        <v>100</v>
      </c>
      <c r="I19" s="32">
        <v>95.36</v>
      </c>
      <c r="J19" s="33">
        <v>33.340000000000003</v>
      </c>
    </row>
    <row r="20" spans="1:10" x14ac:dyDescent="0.3">
      <c r="A20" s="65" t="s">
        <v>35</v>
      </c>
      <c r="B20" s="32" t="s">
        <v>36</v>
      </c>
      <c r="C20" s="31">
        <v>21784770</v>
      </c>
      <c r="D20" s="32">
        <v>1.59</v>
      </c>
      <c r="E20" s="32">
        <v>98.17</v>
      </c>
      <c r="F20" s="32">
        <v>1.83</v>
      </c>
      <c r="G20" s="32">
        <v>729</v>
      </c>
      <c r="H20" s="32">
        <v>100</v>
      </c>
      <c r="I20" s="32">
        <v>95.3</v>
      </c>
      <c r="J20" s="33">
        <v>33.33</v>
      </c>
    </row>
    <row r="21" spans="1:10" x14ac:dyDescent="0.3">
      <c r="A21" s="65" t="s">
        <v>37</v>
      </c>
      <c r="B21" s="32" t="s">
        <v>38</v>
      </c>
      <c r="C21" s="31">
        <v>17174379</v>
      </c>
      <c r="D21" s="32">
        <v>1.23</v>
      </c>
      <c r="E21" s="32">
        <v>99.01</v>
      </c>
      <c r="F21" s="32">
        <v>0.99</v>
      </c>
      <c r="G21" s="32">
        <v>563</v>
      </c>
      <c r="H21" s="32">
        <v>100</v>
      </c>
      <c r="I21" s="32">
        <v>95.29</v>
      </c>
      <c r="J21" s="33">
        <v>33.33</v>
      </c>
    </row>
    <row r="22" spans="1:10" x14ac:dyDescent="0.3">
      <c r="A22" s="65" t="s">
        <v>39</v>
      </c>
      <c r="B22" s="32" t="s">
        <v>40</v>
      </c>
      <c r="C22" s="31">
        <v>17720512</v>
      </c>
      <c r="D22" s="32">
        <v>1.3</v>
      </c>
      <c r="E22" s="32">
        <v>98.84</v>
      </c>
      <c r="F22" s="32">
        <v>1.1599999999999999</v>
      </c>
      <c r="G22" s="32">
        <v>596</v>
      </c>
      <c r="H22" s="32">
        <v>100</v>
      </c>
      <c r="I22" s="32">
        <v>95.31</v>
      </c>
      <c r="J22" s="33">
        <v>33.33</v>
      </c>
    </row>
    <row r="23" spans="1:10" x14ac:dyDescent="0.3">
      <c r="A23" s="65" t="s">
        <v>41</v>
      </c>
      <c r="B23" s="32" t="s">
        <v>42</v>
      </c>
      <c r="C23" s="31">
        <v>23207726</v>
      </c>
      <c r="D23" s="32">
        <v>1.68</v>
      </c>
      <c r="E23" s="32">
        <v>93.9</v>
      </c>
      <c r="F23" s="32">
        <v>6.1</v>
      </c>
      <c r="G23" s="32">
        <v>771</v>
      </c>
      <c r="H23" s="32">
        <v>100</v>
      </c>
      <c r="I23" s="32">
        <v>95.12</v>
      </c>
      <c r="J23" s="33">
        <v>33.28</v>
      </c>
    </row>
    <row r="24" spans="1:10" x14ac:dyDescent="0.3">
      <c r="A24" s="65" t="s">
        <v>43</v>
      </c>
      <c r="B24" s="32" t="s">
        <v>44</v>
      </c>
      <c r="C24" s="31">
        <v>17392081</v>
      </c>
      <c r="D24" s="32">
        <v>1.26</v>
      </c>
      <c r="E24" s="32">
        <v>98.49</v>
      </c>
      <c r="F24" s="32">
        <v>1.51</v>
      </c>
      <c r="G24" s="32">
        <v>577</v>
      </c>
      <c r="H24" s="32">
        <v>100</v>
      </c>
      <c r="I24" s="32">
        <v>95.39</v>
      </c>
      <c r="J24" s="33">
        <v>33.35</v>
      </c>
    </row>
    <row r="25" spans="1:10" x14ac:dyDescent="0.3">
      <c r="A25" s="65" t="s">
        <v>45</v>
      </c>
      <c r="B25" s="32" t="s">
        <v>46</v>
      </c>
      <c r="C25" s="31">
        <v>17396571</v>
      </c>
      <c r="D25" s="32">
        <v>1.28</v>
      </c>
      <c r="E25" s="32">
        <v>98.23</v>
      </c>
      <c r="F25" s="32">
        <v>1.77</v>
      </c>
      <c r="G25" s="32">
        <v>587</v>
      </c>
      <c r="H25" s="32">
        <v>100</v>
      </c>
      <c r="I25" s="32">
        <v>95.49</v>
      </c>
      <c r="J25" s="33">
        <v>33.36</v>
      </c>
    </row>
    <row r="26" spans="1:10" x14ac:dyDescent="0.3">
      <c r="A26" s="65" t="s">
        <v>47</v>
      </c>
      <c r="B26" s="32" t="s">
        <v>48</v>
      </c>
      <c r="C26" s="31">
        <v>17570608</v>
      </c>
      <c r="D26" s="32">
        <v>1.29</v>
      </c>
      <c r="E26" s="32">
        <v>99.22</v>
      </c>
      <c r="F26" s="32">
        <v>0.78</v>
      </c>
      <c r="G26" s="32">
        <v>592</v>
      </c>
      <c r="H26" s="32">
        <v>100</v>
      </c>
      <c r="I26" s="32">
        <v>95.33</v>
      </c>
      <c r="J26" s="33">
        <v>33.32</v>
      </c>
    </row>
    <row r="27" spans="1:10" x14ac:dyDescent="0.3">
      <c r="A27" s="65" t="s">
        <v>49</v>
      </c>
      <c r="B27" s="32" t="s">
        <v>50</v>
      </c>
      <c r="C27" s="31">
        <v>16347728</v>
      </c>
      <c r="D27" s="32">
        <v>1.2</v>
      </c>
      <c r="E27" s="32">
        <v>97.71</v>
      </c>
      <c r="F27" s="32">
        <v>2.29</v>
      </c>
      <c r="G27" s="32">
        <v>550</v>
      </c>
      <c r="H27" s="32">
        <v>100</v>
      </c>
      <c r="I27" s="32">
        <v>95.38</v>
      </c>
      <c r="J27" s="33">
        <v>33.340000000000003</v>
      </c>
    </row>
    <row r="28" spans="1:10" x14ac:dyDescent="0.3">
      <c r="A28" s="65" t="s">
        <v>51</v>
      </c>
      <c r="B28" s="32" t="s">
        <v>52</v>
      </c>
      <c r="C28" s="31">
        <v>18124804</v>
      </c>
      <c r="D28" s="32">
        <v>1.31</v>
      </c>
      <c r="E28" s="32">
        <v>99.04</v>
      </c>
      <c r="F28" s="32">
        <v>0.96</v>
      </c>
      <c r="G28" s="32">
        <v>601</v>
      </c>
      <c r="H28" s="32">
        <v>100</v>
      </c>
      <c r="I28" s="32">
        <v>95.33</v>
      </c>
      <c r="J28" s="33">
        <v>33.33</v>
      </c>
    </row>
    <row r="29" spans="1:10" x14ac:dyDescent="0.3">
      <c r="A29" s="65" t="s">
        <v>53</v>
      </c>
      <c r="B29" s="32" t="s">
        <v>54</v>
      </c>
      <c r="C29" s="31">
        <v>19296844</v>
      </c>
      <c r="D29" s="32">
        <v>1.4</v>
      </c>
      <c r="E29" s="32">
        <v>99.21</v>
      </c>
      <c r="F29" s="32">
        <v>0.79</v>
      </c>
      <c r="G29" s="32">
        <v>641</v>
      </c>
      <c r="H29" s="32">
        <v>100</v>
      </c>
      <c r="I29" s="32">
        <v>95.61</v>
      </c>
      <c r="J29" s="33">
        <v>33.369999999999997</v>
      </c>
    </row>
    <row r="30" spans="1:10" x14ac:dyDescent="0.3">
      <c r="A30" s="65" t="s">
        <v>55</v>
      </c>
      <c r="B30" s="32" t="s">
        <v>56</v>
      </c>
      <c r="C30" s="31">
        <v>15304692</v>
      </c>
      <c r="D30" s="32">
        <v>1.1000000000000001</v>
      </c>
      <c r="E30" s="32">
        <v>98.2</v>
      </c>
      <c r="F30" s="32">
        <v>1.8</v>
      </c>
      <c r="G30" s="32">
        <v>506</v>
      </c>
      <c r="H30" s="32">
        <v>100</v>
      </c>
      <c r="I30" s="32">
        <v>95.19</v>
      </c>
      <c r="J30" s="33">
        <v>33.31</v>
      </c>
    </row>
    <row r="31" spans="1:10" x14ac:dyDescent="0.3">
      <c r="A31" s="65" t="s">
        <v>57</v>
      </c>
      <c r="B31" s="32" t="s">
        <v>58</v>
      </c>
      <c r="C31" s="31">
        <v>16686344</v>
      </c>
      <c r="D31" s="32">
        <v>1.22</v>
      </c>
      <c r="E31" s="32">
        <v>98.79</v>
      </c>
      <c r="F31" s="32">
        <v>1.21</v>
      </c>
      <c r="G31" s="32">
        <v>558</v>
      </c>
      <c r="H31" s="32">
        <v>100</v>
      </c>
      <c r="I31" s="32">
        <v>95.23</v>
      </c>
      <c r="J31" s="33">
        <v>33.32</v>
      </c>
    </row>
    <row r="32" spans="1:10" x14ac:dyDescent="0.3">
      <c r="A32" s="65" t="s">
        <v>59</v>
      </c>
      <c r="B32" s="32" t="s">
        <v>60</v>
      </c>
      <c r="C32" s="31">
        <v>18611155</v>
      </c>
      <c r="D32" s="32">
        <v>1.34</v>
      </c>
      <c r="E32" s="32">
        <v>96.47</v>
      </c>
      <c r="F32" s="32">
        <v>3.53</v>
      </c>
      <c r="G32" s="32">
        <v>615</v>
      </c>
      <c r="H32" s="32">
        <v>100</v>
      </c>
      <c r="I32" s="32">
        <v>95.53</v>
      </c>
      <c r="J32" s="33">
        <v>33.369999999999997</v>
      </c>
    </row>
    <row r="33" spans="1:10" x14ac:dyDescent="0.3">
      <c r="A33" s="65" t="s">
        <v>61</v>
      </c>
      <c r="B33" s="32" t="s">
        <v>62</v>
      </c>
      <c r="C33" s="31">
        <v>20009409</v>
      </c>
      <c r="D33" s="32">
        <v>1.46</v>
      </c>
      <c r="E33" s="32">
        <v>97.71</v>
      </c>
      <c r="F33" s="32">
        <v>2.29</v>
      </c>
      <c r="G33" s="32">
        <v>670</v>
      </c>
      <c r="H33" s="32">
        <v>100</v>
      </c>
      <c r="I33" s="32">
        <v>95.24</v>
      </c>
      <c r="J33" s="33">
        <v>33.32</v>
      </c>
    </row>
    <row r="34" spans="1:10" x14ac:dyDescent="0.3">
      <c r="A34" s="65" t="s">
        <v>63</v>
      </c>
      <c r="B34" s="32" t="s">
        <v>64</v>
      </c>
      <c r="C34" s="31">
        <v>16022971</v>
      </c>
      <c r="D34" s="32">
        <v>1.1399999999999999</v>
      </c>
      <c r="E34" s="32">
        <v>99.06</v>
      </c>
      <c r="F34" s="32">
        <v>0.94</v>
      </c>
      <c r="G34" s="32">
        <v>522</v>
      </c>
      <c r="H34" s="32">
        <v>100</v>
      </c>
      <c r="I34" s="32">
        <v>95.34</v>
      </c>
      <c r="J34" s="33">
        <v>33.340000000000003</v>
      </c>
    </row>
    <row r="35" spans="1:10" x14ac:dyDescent="0.3">
      <c r="A35" s="65" t="s">
        <v>65</v>
      </c>
      <c r="B35" s="32" t="s">
        <v>66</v>
      </c>
      <c r="C35" s="31">
        <v>18684646</v>
      </c>
      <c r="D35" s="32">
        <v>1.37</v>
      </c>
      <c r="E35" s="32">
        <v>98.07</v>
      </c>
      <c r="F35" s="32">
        <v>1.93</v>
      </c>
      <c r="G35" s="32">
        <v>627</v>
      </c>
      <c r="H35" s="32">
        <v>100</v>
      </c>
      <c r="I35" s="32">
        <v>94.98</v>
      </c>
      <c r="J35" s="33">
        <v>33.28</v>
      </c>
    </row>
    <row r="36" spans="1:10" x14ac:dyDescent="0.3">
      <c r="A36" s="65" t="s">
        <v>67</v>
      </c>
      <c r="B36" s="32" t="s">
        <v>68</v>
      </c>
      <c r="C36" s="31">
        <v>17627654</v>
      </c>
      <c r="D36" s="32">
        <v>1.27</v>
      </c>
      <c r="E36" s="32">
        <v>98.59</v>
      </c>
      <c r="F36" s="32">
        <v>1.41</v>
      </c>
      <c r="G36" s="32">
        <v>581</v>
      </c>
      <c r="H36" s="32">
        <v>100</v>
      </c>
      <c r="I36" s="32">
        <v>95.48</v>
      </c>
      <c r="J36" s="33">
        <v>33.36</v>
      </c>
    </row>
    <row r="37" spans="1:10" x14ac:dyDescent="0.3">
      <c r="A37" s="65" t="s">
        <v>69</v>
      </c>
      <c r="B37" s="32" t="s">
        <v>70</v>
      </c>
      <c r="C37" s="31">
        <v>19724990</v>
      </c>
      <c r="D37" s="32">
        <v>1.45</v>
      </c>
      <c r="E37" s="32">
        <v>97.42</v>
      </c>
      <c r="F37" s="32">
        <v>2.58</v>
      </c>
      <c r="G37" s="32">
        <v>666</v>
      </c>
      <c r="H37" s="32">
        <v>100</v>
      </c>
      <c r="I37" s="32">
        <v>95.34</v>
      </c>
      <c r="J37" s="33">
        <v>33.340000000000003</v>
      </c>
    </row>
    <row r="38" spans="1:10" x14ac:dyDescent="0.3">
      <c r="A38" s="65" t="s">
        <v>71</v>
      </c>
      <c r="B38" s="32" t="s">
        <v>72</v>
      </c>
      <c r="C38" s="31">
        <v>18236444</v>
      </c>
      <c r="D38" s="32">
        <v>1.31</v>
      </c>
      <c r="E38" s="32">
        <v>99.15</v>
      </c>
      <c r="F38" s="32">
        <v>0.85</v>
      </c>
      <c r="G38" s="32">
        <v>601</v>
      </c>
      <c r="H38" s="32">
        <v>100</v>
      </c>
      <c r="I38" s="32">
        <v>95.28</v>
      </c>
      <c r="J38" s="33">
        <v>33.33</v>
      </c>
    </row>
    <row r="39" spans="1:10" x14ac:dyDescent="0.3">
      <c r="A39" s="65" t="s">
        <v>73</v>
      </c>
      <c r="B39" s="32" t="s">
        <v>74</v>
      </c>
      <c r="C39" s="31">
        <v>14842640</v>
      </c>
      <c r="D39" s="32">
        <v>1.06</v>
      </c>
      <c r="E39" s="32">
        <v>98.38</v>
      </c>
      <c r="F39" s="32">
        <v>1.62</v>
      </c>
      <c r="G39" s="32">
        <v>485</v>
      </c>
      <c r="H39" s="32">
        <v>100</v>
      </c>
      <c r="I39" s="32">
        <v>95.39</v>
      </c>
      <c r="J39" s="33">
        <v>33.35</v>
      </c>
    </row>
    <row r="40" spans="1:10" x14ac:dyDescent="0.3">
      <c r="A40" s="65" t="s">
        <v>75</v>
      </c>
      <c r="B40" s="32" t="s">
        <v>76</v>
      </c>
      <c r="C40" s="31">
        <v>19721760</v>
      </c>
      <c r="D40" s="32">
        <v>1.45</v>
      </c>
      <c r="E40" s="32">
        <v>98.59</v>
      </c>
      <c r="F40" s="32">
        <v>1.41</v>
      </c>
      <c r="G40" s="32">
        <v>667</v>
      </c>
      <c r="H40" s="32">
        <v>100</v>
      </c>
      <c r="I40" s="32">
        <v>95.48</v>
      </c>
      <c r="J40" s="33">
        <v>33.35</v>
      </c>
    </row>
    <row r="41" spans="1:10" x14ac:dyDescent="0.3">
      <c r="A41" s="65" t="s">
        <v>77</v>
      </c>
      <c r="B41" s="32" t="s">
        <v>78</v>
      </c>
      <c r="C41" s="31">
        <v>17827150</v>
      </c>
      <c r="D41" s="32">
        <v>1.3</v>
      </c>
      <c r="E41" s="32">
        <v>94.09</v>
      </c>
      <c r="F41" s="32">
        <v>5.91</v>
      </c>
      <c r="G41" s="32">
        <v>595</v>
      </c>
      <c r="H41" s="32">
        <v>100</v>
      </c>
      <c r="I41" s="32">
        <v>95.55</v>
      </c>
      <c r="J41" s="33">
        <v>33.36</v>
      </c>
    </row>
    <row r="42" spans="1:10" x14ac:dyDescent="0.3">
      <c r="A42" s="65" t="s">
        <v>79</v>
      </c>
      <c r="B42" s="32" t="s">
        <v>80</v>
      </c>
      <c r="C42" s="31">
        <v>20265043</v>
      </c>
      <c r="D42" s="32">
        <v>1.46</v>
      </c>
      <c r="E42" s="32">
        <v>98.89</v>
      </c>
      <c r="F42" s="32">
        <v>1.1100000000000001</v>
      </c>
      <c r="G42" s="32">
        <v>670</v>
      </c>
      <c r="H42" s="32">
        <v>100</v>
      </c>
      <c r="I42" s="32">
        <v>95.35</v>
      </c>
      <c r="J42" s="33">
        <v>33.340000000000003</v>
      </c>
    </row>
    <row r="43" spans="1:10" x14ac:dyDescent="0.3">
      <c r="A43" s="65" t="s">
        <v>81</v>
      </c>
      <c r="B43" s="32" t="s">
        <v>82</v>
      </c>
      <c r="C43" s="31">
        <v>20389455</v>
      </c>
      <c r="D43" s="32">
        <v>1.48</v>
      </c>
      <c r="E43" s="32">
        <v>99.23</v>
      </c>
      <c r="F43" s="32">
        <v>0.77</v>
      </c>
      <c r="G43" s="32">
        <v>678</v>
      </c>
      <c r="H43" s="32">
        <v>100</v>
      </c>
      <c r="I43" s="32">
        <v>95.32</v>
      </c>
      <c r="J43" s="33">
        <v>33.340000000000003</v>
      </c>
    </row>
    <row r="44" spans="1:10" x14ac:dyDescent="0.3">
      <c r="A44" s="65" t="s">
        <v>83</v>
      </c>
      <c r="B44" s="32" t="s">
        <v>84</v>
      </c>
      <c r="C44" s="31">
        <v>19716964</v>
      </c>
      <c r="D44" s="32">
        <v>1.44</v>
      </c>
      <c r="E44" s="32">
        <v>99.2</v>
      </c>
      <c r="F44" s="32">
        <v>0.8</v>
      </c>
      <c r="G44" s="32">
        <v>660</v>
      </c>
      <c r="H44" s="32">
        <v>100</v>
      </c>
      <c r="I44" s="32">
        <v>95.42</v>
      </c>
      <c r="J44" s="33">
        <v>33.35</v>
      </c>
    </row>
    <row r="45" spans="1:10" x14ac:dyDescent="0.3">
      <c r="A45" s="65" t="s">
        <v>85</v>
      </c>
      <c r="B45" s="32" t="s">
        <v>86</v>
      </c>
      <c r="C45" s="31">
        <v>15197815</v>
      </c>
      <c r="D45" s="32">
        <v>1.1000000000000001</v>
      </c>
      <c r="E45" s="32">
        <v>98.79</v>
      </c>
      <c r="F45" s="32">
        <v>1.21</v>
      </c>
      <c r="G45" s="32">
        <v>504</v>
      </c>
      <c r="H45" s="32">
        <v>100</v>
      </c>
      <c r="I45" s="32">
        <v>95.44</v>
      </c>
      <c r="J45" s="33">
        <v>33.36</v>
      </c>
    </row>
    <row r="46" spans="1:10" x14ac:dyDescent="0.3">
      <c r="A46" s="65" t="s">
        <v>87</v>
      </c>
      <c r="B46" s="32" t="s">
        <v>88</v>
      </c>
      <c r="C46" s="31">
        <v>17020741</v>
      </c>
      <c r="D46" s="32">
        <v>1.24</v>
      </c>
      <c r="E46" s="32">
        <v>98.93</v>
      </c>
      <c r="F46" s="32">
        <v>1.07</v>
      </c>
      <c r="G46" s="32">
        <v>568</v>
      </c>
      <c r="H46" s="32">
        <v>100</v>
      </c>
      <c r="I46" s="32">
        <v>95.31</v>
      </c>
      <c r="J46" s="33">
        <v>33.340000000000003</v>
      </c>
    </row>
    <row r="47" spans="1:10" x14ac:dyDescent="0.3">
      <c r="A47" s="65" t="s">
        <v>89</v>
      </c>
      <c r="B47" s="32" t="s">
        <v>90</v>
      </c>
      <c r="C47" s="31">
        <v>17337982</v>
      </c>
      <c r="D47" s="32">
        <v>1.27</v>
      </c>
      <c r="E47" s="32">
        <v>98.7</v>
      </c>
      <c r="F47" s="32">
        <v>1.3</v>
      </c>
      <c r="G47" s="32">
        <v>581</v>
      </c>
      <c r="H47" s="32">
        <v>100</v>
      </c>
      <c r="I47" s="32">
        <v>95.26</v>
      </c>
      <c r="J47" s="33">
        <v>33.33</v>
      </c>
    </row>
    <row r="48" spans="1:10" x14ac:dyDescent="0.3">
      <c r="A48" s="65" t="s">
        <v>91</v>
      </c>
      <c r="B48" s="32" t="s">
        <v>92</v>
      </c>
      <c r="C48" s="31">
        <v>17083371</v>
      </c>
      <c r="D48" s="32">
        <v>1.24</v>
      </c>
      <c r="E48" s="32">
        <v>98.84</v>
      </c>
      <c r="F48" s="32">
        <v>1.1599999999999999</v>
      </c>
      <c r="G48" s="32">
        <v>567</v>
      </c>
      <c r="H48" s="32">
        <v>100</v>
      </c>
      <c r="I48" s="32">
        <v>95.39</v>
      </c>
      <c r="J48" s="33">
        <v>33.35</v>
      </c>
    </row>
    <row r="49" spans="1:10" x14ac:dyDescent="0.3">
      <c r="A49" s="65" t="s">
        <v>93</v>
      </c>
      <c r="B49" s="32" t="s">
        <v>94</v>
      </c>
      <c r="C49" s="31">
        <v>18585350</v>
      </c>
      <c r="D49" s="32">
        <v>1.35</v>
      </c>
      <c r="E49" s="32">
        <v>97.68</v>
      </c>
      <c r="F49" s="32">
        <v>2.3199999999999998</v>
      </c>
      <c r="G49" s="32">
        <v>617</v>
      </c>
      <c r="H49" s="32">
        <v>100</v>
      </c>
      <c r="I49" s="32">
        <v>95.29</v>
      </c>
      <c r="J49" s="33">
        <v>33.33</v>
      </c>
    </row>
    <row r="50" spans="1:10" x14ac:dyDescent="0.3">
      <c r="A50" s="65" t="s">
        <v>95</v>
      </c>
      <c r="B50" s="32" t="s">
        <v>96</v>
      </c>
      <c r="C50" s="31">
        <v>16354513</v>
      </c>
      <c r="D50" s="32">
        <v>1.18</v>
      </c>
      <c r="E50" s="32">
        <v>97.94</v>
      </c>
      <c r="F50" s="32">
        <v>2.06</v>
      </c>
      <c r="G50" s="32">
        <v>539</v>
      </c>
      <c r="H50" s="32">
        <v>100</v>
      </c>
      <c r="I50" s="32">
        <v>95.22</v>
      </c>
      <c r="J50" s="33">
        <v>33.32</v>
      </c>
    </row>
    <row r="51" spans="1:10" x14ac:dyDescent="0.3">
      <c r="A51" s="65" t="s">
        <v>97</v>
      </c>
      <c r="B51" s="32" t="s">
        <v>98</v>
      </c>
      <c r="C51" s="31">
        <v>16522109</v>
      </c>
      <c r="D51" s="32">
        <v>1.19</v>
      </c>
      <c r="E51" s="32">
        <v>99.02</v>
      </c>
      <c r="F51" s="32">
        <v>0.98</v>
      </c>
      <c r="G51" s="32">
        <v>548</v>
      </c>
      <c r="H51" s="32">
        <v>100</v>
      </c>
      <c r="I51" s="32">
        <v>95.21</v>
      </c>
      <c r="J51" s="33">
        <v>33.33</v>
      </c>
    </row>
    <row r="52" spans="1:10" x14ac:dyDescent="0.3">
      <c r="A52" s="65" t="s">
        <v>99</v>
      </c>
      <c r="B52" s="32" t="s">
        <v>100</v>
      </c>
      <c r="C52" s="31">
        <v>20019434</v>
      </c>
      <c r="D52" s="32">
        <v>1.45</v>
      </c>
      <c r="E52" s="32">
        <v>98.88</v>
      </c>
      <c r="F52" s="32">
        <v>1.1200000000000001</v>
      </c>
      <c r="G52" s="32">
        <v>667</v>
      </c>
      <c r="H52" s="32">
        <v>100</v>
      </c>
      <c r="I52" s="32">
        <v>95.12</v>
      </c>
      <c r="J52" s="33">
        <v>33.299999999999997</v>
      </c>
    </row>
    <row r="53" spans="1:10" x14ac:dyDescent="0.3">
      <c r="A53" s="65" t="s">
        <v>101</v>
      </c>
      <c r="B53" s="32" t="s">
        <v>102</v>
      </c>
      <c r="C53" s="31">
        <v>19451800</v>
      </c>
      <c r="D53" s="32">
        <v>1.42</v>
      </c>
      <c r="E53" s="32">
        <v>98.77</v>
      </c>
      <c r="F53" s="32">
        <v>1.23</v>
      </c>
      <c r="G53" s="32">
        <v>650</v>
      </c>
      <c r="H53" s="32">
        <v>100</v>
      </c>
      <c r="I53" s="32">
        <v>95.34</v>
      </c>
      <c r="J53" s="33">
        <v>33.340000000000003</v>
      </c>
    </row>
    <row r="54" spans="1:10" x14ac:dyDescent="0.3">
      <c r="A54" s="65" t="s">
        <v>103</v>
      </c>
      <c r="B54" s="32" t="s">
        <v>104</v>
      </c>
      <c r="C54" s="31">
        <v>17712697</v>
      </c>
      <c r="D54" s="32">
        <v>1.28</v>
      </c>
      <c r="E54" s="32">
        <v>99.18</v>
      </c>
      <c r="F54" s="32">
        <v>0.82</v>
      </c>
      <c r="G54" s="32">
        <v>589</v>
      </c>
      <c r="H54" s="32">
        <v>100</v>
      </c>
      <c r="I54" s="32">
        <v>95.66</v>
      </c>
      <c r="J54" s="33">
        <v>33.380000000000003</v>
      </c>
    </row>
    <row r="55" spans="1:10" x14ac:dyDescent="0.3">
      <c r="A55" s="65" t="s">
        <v>105</v>
      </c>
      <c r="B55" s="32" t="s">
        <v>106</v>
      </c>
      <c r="C55" s="31">
        <v>18298838</v>
      </c>
      <c r="D55" s="32">
        <v>1.32</v>
      </c>
      <c r="E55" s="32">
        <v>98.42</v>
      </c>
      <c r="F55" s="32">
        <v>1.58</v>
      </c>
      <c r="G55" s="32">
        <v>606</v>
      </c>
      <c r="H55" s="32">
        <v>100</v>
      </c>
      <c r="I55" s="32">
        <v>95.34</v>
      </c>
      <c r="J55" s="33">
        <v>33.340000000000003</v>
      </c>
    </row>
    <row r="56" spans="1:10" x14ac:dyDescent="0.3">
      <c r="A56" s="65" t="s">
        <v>107</v>
      </c>
      <c r="B56" s="32" t="s">
        <v>108</v>
      </c>
      <c r="C56" s="31">
        <v>20978567</v>
      </c>
      <c r="D56" s="32">
        <v>1.53</v>
      </c>
      <c r="E56" s="32">
        <v>98.92</v>
      </c>
      <c r="F56" s="32">
        <v>1.08</v>
      </c>
      <c r="G56" s="32">
        <v>702</v>
      </c>
      <c r="H56" s="32">
        <v>100</v>
      </c>
      <c r="I56" s="32">
        <v>95.45</v>
      </c>
      <c r="J56" s="33">
        <v>33.36</v>
      </c>
    </row>
    <row r="57" spans="1:10" x14ac:dyDescent="0.3">
      <c r="A57" s="65" t="s">
        <v>109</v>
      </c>
      <c r="B57" s="32" t="s">
        <v>110</v>
      </c>
      <c r="C57" s="31">
        <v>15994909</v>
      </c>
      <c r="D57" s="32">
        <v>1.1599999999999999</v>
      </c>
      <c r="E57" s="32">
        <v>98.99</v>
      </c>
      <c r="F57" s="32">
        <v>1.01</v>
      </c>
      <c r="G57" s="32">
        <v>532</v>
      </c>
      <c r="H57" s="32">
        <v>100</v>
      </c>
      <c r="I57" s="32">
        <v>95.36</v>
      </c>
      <c r="J57" s="33">
        <v>33.35</v>
      </c>
    </row>
    <row r="58" spans="1:10" x14ac:dyDescent="0.3">
      <c r="A58" s="65" t="s">
        <v>111</v>
      </c>
      <c r="B58" s="32" t="s">
        <v>112</v>
      </c>
      <c r="C58" s="31">
        <v>20114575</v>
      </c>
      <c r="D58" s="32">
        <v>1.48</v>
      </c>
      <c r="E58" s="32">
        <v>99.04</v>
      </c>
      <c r="F58" s="32">
        <v>0.96</v>
      </c>
      <c r="G58" s="32">
        <v>678</v>
      </c>
      <c r="H58" s="32">
        <v>100</v>
      </c>
      <c r="I58" s="32">
        <v>95.34</v>
      </c>
      <c r="J58" s="33">
        <v>33.340000000000003</v>
      </c>
    </row>
    <row r="59" spans="1:10" x14ac:dyDescent="0.3">
      <c r="A59" s="65" t="s">
        <v>113</v>
      </c>
      <c r="B59" s="32" t="s">
        <v>114</v>
      </c>
      <c r="C59" s="31">
        <v>17357836</v>
      </c>
      <c r="D59" s="32">
        <v>1.25</v>
      </c>
      <c r="E59" s="32">
        <v>99.08</v>
      </c>
      <c r="F59" s="32">
        <v>0.92</v>
      </c>
      <c r="G59" s="32">
        <v>574</v>
      </c>
      <c r="H59" s="32">
        <v>100</v>
      </c>
      <c r="I59" s="32">
        <v>95.24</v>
      </c>
      <c r="J59" s="33">
        <v>33.32</v>
      </c>
    </row>
    <row r="60" spans="1:10" x14ac:dyDescent="0.3">
      <c r="A60" s="65" t="s">
        <v>115</v>
      </c>
      <c r="B60" s="32" t="s">
        <v>116</v>
      </c>
      <c r="C60" s="31">
        <v>16683448</v>
      </c>
      <c r="D60" s="32">
        <v>1.2</v>
      </c>
      <c r="E60" s="32">
        <v>98.53</v>
      </c>
      <c r="F60" s="32">
        <v>1.47</v>
      </c>
      <c r="G60" s="32">
        <v>552</v>
      </c>
      <c r="H60" s="32">
        <v>100</v>
      </c>
      <c r="I60" s="32">
        <v>95.4</v>
      </c>
      <c r="J60" s="33">
        <v>33.340000000000003</v>
      </c>
    </row>
    <row r="61" spans="1:10" x14ac:dyDescent="0.3">
      <c r="A61" s="65" t="s">
        <v>117</v>
      </c>
      <c r="B61" s="32" t="s">
        <v>118</v>
      </c>
      <c r="C61" s="31">
        <v>15587045</v>
      </c>
      <c r="D61" s="32">
        <v>1.1599999999999999</v>
      </c>
      <c r="E61" s="32">
        <v>98.76</v>
      </c>
      <c r="F61" s="32">
        <v>1.24</v>
      </c>
      <c r="G61" s="32">
        <v>533</v>
      </c>
      <c r="H61" s="32">
        <v>100</v>
      </c>
      <c r="I61" s="32">
        <v>95.77</v>
      </c>
      <c r="J61" s="33">
        <v>33.39</v>
      </c>
    </row>
    <row r="62" spans="1:10" x14ac:dyDescent="0.3">
      <c r="A62" s="65" t="s">
        <v>119</v>
      </c>
      <c r="B62" s="32" t="s">
        <v>120</v>
      </c>
      <c r="C62" s="31">
        <v>19250850</v>
      </c>
      <c r="D62" s="32">
        <v>1.4</v>
      </c>
      <c r="E62" s="32">
        <v>98.84</v>
      </c>
      <c r="F62" s="32">
        <v>1.1599999999999999</v>
      </c>
      <c r="G62" s="32">
        <v>644</v>
      </c>
      <c r="H62" s="32">
        <v>100</v>
      </c>
      <c r="I62" s="32">
        <v>95.35</v>
      </c>
      <c r="J62" s="33">
        <v>33.340000000000003</v>
      </c>
    </row>
    <row r="63" spans="1:10" x14ac:dyDescent="0.3">
      <c r="A63" s="65" t="s">
        <v>121</v>
      </c>
      <c r="B63" s="32" t="s">
        <v>122</v>
      </c>
      <c r="C63" s="31">
        <v>16356344</v>
      </c>
      <c r="D63" s="32">
        <v>1.19</v>
      </c>
      <c r="E63" s="32">
        <v>97.25</v>
      </c>
      <c r="F63" s="32">
        <v>2.75</v>
      </c>
      <c r="G63" s="32">
        <v>545</v>
      </c>
      <c r="H63" s="32">
        <v>100</v>
      </c>
      <c r="I63" s="32">
        <v>95.37</v>
      </c>
      <c r="J63" s="33">
        <v>33.340000000000003</v>
      </c>
    </row>
    <row r="64" spans="1:10" x14ac:dyDescent="0.3">
      <c r="A64" s="65" t="s">
        <v>123</v>
      </c>
      <c r="B64" s="32" t="s">
        <v>124</v>
      </c>
      <c r="C64" s="31">
        <v>18008248</v>
      </c>
      <c r="D64" s="32">
        <v>1.3</v>
      </c>
      <c r="E64" s="32">
        <v>98.35</v>
      </c>
      <c r="F64" s="32">
        <v>1.65</v>
      </c>
      <c r="G64" s="32">
        <v>597</v>
      </c>
      <c r="H64" s="32">
        <v>100</v>
      </c>
      <c r="I64" s="32">
        <v>95.32</v>
      </c>
      <c r="J64" s="33">
        <v>33.340000000000003</v>
      </c>
    </row>
    <row r="65" spans="1:10" x14ac:dyDescent="0.3">
      <c r="A65" s="65" t="s">
        <v>125</v>
      </c>
      <c r="B65" s="32" t="s">
        <v>126</v>
      </c>
      <c r="C65" s="31">
        <v>16888271</v>
      </c>
      <c r="D65" s="32">
        <v>1.21</v>
      </c>
      <c r="E65" s="32">
        <v>98.04</v>
      </c>
      <c r="F65" s="32">
        <v>1.96</v>
      </c>
      <c r="G65" s="32">
        <v>555</v>
      </c>
      <c r="H65" s="32">
        <v>100</v>
      </c>
      <c r="I65" s="32">
        <v>95.3</v>
      </c>
      <c r="J65" s="33">
        <v>33.33</v>
      </c>
    </row>
    <row r="66" spans="1:10" x14ac:dyDescent="0.3">
      <c r="A66" s="65" t="s">
        <v>127</v>
      </c>
      <c r="B66" s="32" t="s">
        <v>128</v>
      </c>
      <c r="C66" s="31">
        <v>16446692</v>
      </c>
      <c r="D66" s="32">
        <v>1.2</v>
      </c>
      <c r="E66" s="32">
        <v>98.67</v>
      </c>
      <c r="F66" s="32">
        <v>1.33</v>
      </c>
      <c r="G66" s="32">
        <v>550</v>
      </c>
      <c r="H66" s="32">
        <v>100</v>
      </c>
      <c r="I66" s="32">
        <v>95.96</v>
      </c>
      <c r="J66" s="33">
        <v>33.42</v>
      </c>
    </row>
    <row r="67" spans="1:10" x14ac:dyDescent="0.3">
      <c r="A67" s="65" t="s">
        <v>129</v>
      </c>
      <c r="B67" s="32" t="s">
        <v>130</v>
      </c>
      <c r="C67" s="31">
        <v>16751759</v>
      </c>
      <c r="D67" s="32">
        <v>1.23</v>
      </c>
      <c r="E67" s="32">
        <v>98.94</v>
      </c>
      <c r="F67" s="32">
        <v>1.06</v>
      </c>
      <c r="G67" s="32">
        <v>566</v>
      </c>
      <c r="H67" s="32">
        <v>100</v>
      </c>
      <c r="I67" s="32">
        <v>96.13</v>
      </c>
      <c r="J67" s="33">
        <v>33.44</v>
      </c>
    </row>
    <row r="68" spans="1:10" x14ac:dyDescent="0.3">
      <c r="A68" s="65" t="s">
        <v>131</v>
      </c>
      <c r="B68" s="32" t="s">
        <v>132</v>
      </c>
      <c r="C68" s="31">
        <v>17167078</v>
      </c>
      <c r="D68" s="32">
        <v>1.27</v>
      </c>
      <c r="E68" s="32">
        <v>98.95</v>
      </c>
      <c r="F68" s="32">
        <v>1.05</v>
      </c>
      <c r="G68" s="32">
        <v>582</v>
      </c>
      <c r="H68" s="32">
        <v>100</v>
      </c>
      <c r="I68" s="32">
        <v>95.87</v>
      </c>
      <c r="J68" s="33">
        <v>33.409999999999997</v>
      </c>
    </row>
    <row r="69" spans="1:10" x14ac:dyDescent="0.3">
      <c r="A69" s="65" t="s">
        <v>133</v>
      </c>
      <c r="B69" s="32" t="s">
        <v>134</v>
      </c>
      <c r="C69" s="31">
        <v>16843530</v>
      </c>
      <c r="D69" s="32">
        <v>1.25</v>
      </c>
      <c r="E69" s="32">
        <v>98.54</v>
      </c>
      <c r="F69" s="32">
        <v>1.46</v>
      </c>
      <c r="G69" s="32">
        <v>571</v>
      </c>
      <c r="H69" s="32">
        <v>100</v>
      </c>
      <c r="I69" s="32">
        <v>95.58</v>
      </c>
      <c r="J69" s="33">
        <v>33.36</v>
      </c>
    </row>
    <row r="70" spans="1:10" x14ac:dyDescent="0.3">
      <c r="A70" s="65" t="s">
        <v>135</v>
      </c>
      <c r="B70" s="32" t="s">
        <v>136</v>
      </c>
      <c r="C70" s="31">
        <v>18332667</v>
      </c>
      <c r="D70" s="32">
        <v>1.35</v>
      </c>
      <c r="E70" s="32">
        <v>97.1</v>
      </c>
      <c r="F70" s="32">
        <v>2.9</v>
      </c>
      <c r="G70" s="32">
        <v>618</v>
      </c>
      <c r="H70" s="32">
        <v>100</v>
      </c>
      <c r="I70" s="32">
        <v>95.34</v>
      </c>
      <c r="J70" s="33">
        <v>33.340000000000003</v>
      </c>
    </row>
    <row r="71" spans="1:10" x14ac:dyDescent="0.3">
      <c r="A71" s="65" t="s">
        <v>137</v>
      </c>
      <c r="B71" s="32" t="s">
        <v>138</v>
      </c>
      <c r="C71" s="31">
        <v>18196887</v>
      </c>
      <c r="D71" s="32">
        <v>1.31</v>
      </c>
      <c r="E71" s="32">
        <v>97.99</v>
      </c>
      <c r="F71" s="32">
        <v>2.0099999999999998</v>
      </c>
      <c r="G71" s="32">
        <v>602</v>
      </c>
      <c r="H71" s="32">
        <v>100</v>
      </c>
      <c r="I71" s="32">
        <v>95.94</v>
      </c>
      <c r="J71" s="33">
        <v>33.42</v>
      </c>
    </row>
    <row r="72" spans="1:10" x14ac:dyDescent="0.3">
      <c r="A72" s="65" t="s">
        <v>139</v>
      </c>
      <c r="B72" s="32" t="s">
        <v>140</v>
      </c>
      <c r="C72" s="31">
        <v>17745116</v>
      </c>
      <c r="D72" s="32">
        <v>1.27</v>
      </c>
      <c r="E72" s="32">
        <v>97.66</v>
      </c>
      <c r="F72" s="32">
        <v>2.34</v>
      </c>
      <c r="G72" s="32">
        <v>580</v>
      </c>
      <c r="H72" s="32">
        <v>100</v>
      </c>
      <c r="I72" s="32">
        <v>95.37</v>
      </c>
      <c r="J72" s="33">
        <v>33.340000000000003</v>
      </c>
    </row>
    <row r="73" spans="1:10" x14ac:dyDescent="0.3">
      <c r="A73" s="65" t="s">
        <v>141</v>
      </c>
      <c r="B73" s="32" t="s">
        <v>142</v>
      </c>
      <c r="C73" s="31">
        <v>15071169</v>
      </c>
      <c r="D73" s="32">
        <v>1.08</v>
      </c>
      <c r="E73" s="32">
        <v>99.24</v>
      </c>
      <c r="F73" s="32">
        <v>0.76</v>
      </c>
      <c r="G73" s="32">
        <v>496</v>
      </c>
      <c r="H73" s="32">
        <v>100</v>
      </c>
      <c r="I73" s="32">
        <v>95.3</v>
      </c>
      <c r="J73" s="33">
        <v>33.33</v>
      </c>
    </row>
    <row r="74" spans="1:10" x14ac:dyDescent="0.3">
      <c r="A74" s="65" t="s">
        <v>143</v>
      </c>
      <c r="B74" s="32" t="s">
        <v>144</v>
      </c>
      <c r="C74" s="31">
        <v>18480126</v>
      </c>
      <c r="D74" s="32">
        <v>1.33</v>
      </c>
      <c r="E74" s="32">
        <v>97.04</v>
      </c>
      <c r="F74" s="32">
        <v>2.96</v>
      </c>
      <c r="G74" s="32">
        <v>612</v>
      </c>
      <c r="H74" s="32">
        <v>100</v>
      </c>
      <c r="I74" s="32">
        <v>95.22</v>
      </c>
      <c r="J74" s="33">
        <v>33.31</v>
      </c>
    </row>
    <row r="75" spans="1:10" x14ac:dyDescent="0.3">
      <c r="A75" s="65" t="s">
        <v>145</v>
      </c>
      <c r="B75" s="32" t="s">
        <v>146</v>
      </c>
      <c r="C75" s="31">
        <v>16956650</v>
      </c>
      <c r="D75" s="32">
        <v>1.25</v>
      </c>
      <c r="E75" s="32">
        <v>97.56</v>
      </c>
      <c r="F75" s="32">
        <v>2.44</v>
      </c>
      <c r="G75" s="32">
        <v>575</v>
      </c>
      <c r="H75" s="32">
        <v>100</v>
      </c>
      <c r="I75" s="32">
        <v>95.45</v>
      </c>
      <c r="J75" s="33">
        <v>33.35</v>
      </c>
    </row>
    <row r="76" spans="1:10" x14ac:dyDescent="0.3">
      <c r="A76" s="65" t="s">
        <v>147</v>
      </c>
      <c r="B76" s="32" t="s">
        <v>148</v>
      </c>
      <c r="C76" s="31">
        <v>18807781</v>
      </c>
      <c r="D76" s="32">
        <v>1.35</v>
      </c>
      <c r="E76" s="32">
        <v>99.11</v>
      </c>
      <c r="F76" s="32">
        <v>0.89</v>
      </c>
      <c r="G76" s="32">
        <v>619</v>
      </c>
      <c r="H76" s="32">
        <v>100</v>
      </c>
      <c r="I76" s="32">
        <v>95.34</v>
      </c>
      <c r="J76" s="33">
        <v>33.340000000000003</v>
      </c>
    </row>
    <row r="77" spans="1:10" x14ac:dyDescent="0.3">
      <c r="A77" s="65" t="s">
        <v>149</v>
      </c>
      <c r="B77" s="32" t="s">
        <v>150</v>
      </c>
      <c r="C77" s="31">
        <v>20186473</v>
      </c>
      <c r="D77" s="32">
        <v>1.43</v>
      </c>
      <c r="E77" s="32">
        <v>98.42</v>
      </c>
      <c r="F77" s="32">
        <v>1.58</v>
      </c>
      <c r="G77" s="32">
        <v>656</v>
      </c>
      <c r="H77" s="32">
        <v>100</v>
      </c>
      <c r="I77" s="32">
        <v>95.35</v>
      </c>
      <c r="J77" s="33">
        <v>33.340000000000003</v>
      </c>
    </row>
    <row r="78" spans="1:10" x14ac:dyDescent="0.3">
      <c r="A78" s="65" t="s">
        <v>151</v>
      </c>
      <c r="B78" s="32" t="s">
        <v>152</v>
      </c>
      <c r="C78" s="31">
        <v>15840016</v>
      </c>
      <c r="D78" s="32">
        <v>1.1599999999999999</v>
      </c>
      <c r="E78" s="32">
        <v>96.61</v>
      </c>
      <c r="F78" s="32">
        <v>3.39</v>
      </c>
      <c r="G78" s="32">
        <v>532</v>
      </c>
      <c r="H78" s="32">
        <v>100</v>
      </c>
      <c r="I78" s="32">
        <v>95.49</v>
      </c>
      <c r="J78" s="33">
        <v>33.35</v>
      </c>
    </row>
    <row r="79" spans="1:10" x14ac:dyDescent="0.3">
      <c r="A79" s="65" t="s">
        <v>153</v>
      </c>
      <c r="B79" s="32" t="s">
        <v>154</v>
      </c>
      <c r="C79" s="31">
        <v>17683097</v>
      </c>
      <c r="D79" s="32">
        <v>1.3</v>
      </c>
      <c r="E79" s="32">
        <v>97.79</v>
      </c>
      <c r="F79" s="32">
        <v>2.21</v>
      </c>
      <c r="G79" s="32">
        <v>595</v>
      </c>
      <c r="H79" s="32">
        <v>100</v>
      </c>
      <c r="I79" s="32">
        <v>95.99</v>
      </c>
      <c r="J79" s="33">
        <v>33.43</v>
      </c>
    </row>
    <row r="80" spans="1:10" x14ac:dyDescent="0.3">
      <c r="A80" s="65" t="s">
        <v>155</v>
      </c>
      <c r="B80" s="32" t="s">
        <v>156</v>
      </c>
      <c r="C80" s="31">
        <v>18557241</v>
      </c>
      <c r="D80" s="32">
        <v>1.34</v>
      </c>
      <c r="E80" s="32">
        <v>98.47</v>
      </c>
      <c r="F80" s="32">
        <v>1.53</v>
      </c>
      <c r="G80" s="32">
        <v>614</v>
      </c>
      <c r="H80" s="32">
        <v>100</v>
      </c>
      <c r="I80" s="32">
        <v>95.3</v>
      </c>
      <c r="J80" s="33">
        <v>33.33</v>
      </c>
    </row>
    <row r="81" spans="1:10" x14ac:dyDescent="0.3">
      <c r="A81" s="65" t="s">
        <v>157</v>
      </c>
      <c r="B81" s="32" t="s">
        <v>158</v>
      </c>
      <c r="C81" s="31">
        <v>20078740</v>
      </c>
      <c r="D81" s="32">
        <v>1.47</v>
      </c>
      <c r="E81" s="32">
        <v>99.21</v>
      </c>
      <c r="F81" s="32">
        <v>0.79</v>
      </c>
      <c r="G81" s="32">
        <v>674</v>
      </c>
      <c r="H81" s="32">
        <v>100</v>
      </c>
      <c r="I81" s="32">
        <v>95.34</v>
      </c>
      <c r="J81" s="33">
        <v>33.340000000000003</v>
      </c>
    </row>
    <row r="82" spans="1:10" x14ac:dyDescent="0.3">
      <c r="A82" s="65" t="s">
        <v>159</v>
      </c>
      <c r="B82" s="32" t="s">
        <v>160</v>
      </c>
      <c r="C82" s="31">
        <v>18907613</v>
      </c>
      <c r="D82" s="32">
        <v>1.4</v>
      </c>
      <c r="E82" s="32">
        <v>97.91</v>
      </c>
      <c r="F82" s="32">
        <v>2.09</v>
      </c>
      <c r="G82" s="32">
        <v>643</v>
      </c>
      <c r="H82" s="32">
        <v>100</v>
      </c>
      <c r="I82" s="32">
        <v>95.55</v>
      </c>
      <c r="J82" s="33">
        <v>33.36</v>
      </c>
    </row>
    <row r="83" spans="1:10" x14ac:dyDescent="0.3">
      <c r="A83" s="65" t="s">
        <v>161</v>
      </c>
      <c r="B83" s="32" t="s">
        <v>162</v>
      </c>
      <c r="C83" s="31">
        <v>15608180</v>
      </c>
      <c r="D83" s="32">
        <v>1.1299999999999999</v>
      </c>
      <c r="E83" s="32">
        <v>98.6</v>
      </c>
      <c r="F83" s="32">
        <v>1.4</v>
      </c>
      <c r="G83" s="32">
        <v>520</v>
      </c>
      <c r="H83" s="32">
        <v>100</v>
      </c>
      <c r="I83" s="32">
        <v>95.27</v>
      </c>
      <c r="J83" s="33">
        <v>33.33</v>
      </c>
    </row>
    <row r="84" spans="1:10" ht="15" thickBot="1" x14ac:dyDescent="0.35">
      <c r="A84" s="66" t="s">
        <v>163</v>
      </c>
      <c r="B84" s="35" t="s">
        <v>164</v>
      </c>
      <c r="C84" s="34">
        <v>19811713</v>
      </c>
      <c r="D84" s="35">
        <v>1.43</v>
      </c>
      <c r="E84" s="35">
        <v>98.75</v>
      </c>
      <c r="F84" s="35">
        <v>1.25</v>
      </c>
      <c r="G84" s="35">
        <v>657</v>
      </c>
      <c r="H84" s="35">
        <v>100</v>
      </c>
      <c r="I84" s="35">
        <v>95.28</v>
      </c>
      <c r="J84" s="37">
        <v>33.33</v>
      </c>
    </row>
    <row r="85" spans="1:10" x14ac:dyDescent="0.3">
      <c r="B85" s="60" t="s">
        <v>168</v>
      </c>
      <c r="C85" s="10">
        <f>SUM(C13:C84)</f>
        <v>1291572833</v>
      </c>
    </row>
    <row r="90" spans="1:10" ht="15" thickBot="1" x14ac:dyDescent="0.35"/>
    <row r="91" spans="1:10" ht="15" thickBot="1" x14ac:dyDescent="0.35">
      <c r="A91" s="55" t="s">
        <v>165</v>
      </c>
      <c r="B91" s="56" t="s">
        <v>166</v>
      </c>
      <c r="C91" s="57">
        <v>85128190</v>
      </c>
      <c r="D91" s="58">
        <v>6.19</v>
      </c>
      <c r="E91" s="58">
        <v>100</v>
      </c>
      <c r="F91" s="58" t="s">
        <v>167</v>
      </c>
      <c r="G91" s="57">
        <v>2840</v>
      </c>
      <c r="H91" s="58">
        <v>19.43</v>
      </c>
      <c r="I91" s="58">
        <v>81.13</v>
      </c>
      <c r="J91" s="59">
        <v>30.84</v>
      </c>
    </row>
    <row r="95" spans="1:10" ht="96" x14ac:dyDescent="0.3">
      <c r="A95" s="1" t="s">
        <v>169</v>
      </c>
    </row>
    <row r="96" spans="1:10" ht="15" thickBot="1" x14ac:dyDescent="0.35"/>
    <row r="97" spans="1:6" x14ac:dyDescent="0.3">
      <c r="A97" s="69" t="s">
        <v>5</v>
      </c>
      <c r="B97" s="63" t="s">
        <v>170</v>
      </c>
      <c r="C97" s="63" t="s">
        <v>171</v>
      </c>
      <c r="D97" s="63" t="s">
        <v>5</v>
      </c>
      <c r="E97" s="63" t="s">
        <v>170</v>
      </c>
      <c r="F97" s="64" t="s">
        <v>171</v>
      </c>
    </row>
    <row r="98" spans="1:6" x14ac:dyDescent="0.3">
      <c r="A98" s="50">
        <v>1</v>
      </c>
      <c r="B98" s="31">
        <v>14944160</v>
      </c>
      <c r="C98" s="32" t="s">
        <v>172</v>
      </c>
      <c r="D98" s="53">
        <v>2</v>
      </c>
      <c r="E98" s="31">
        <v>16383440</v>
      </c>
      <c r="F98" s="33" t="s">
        <v>172</v>
      </c>
    </row>
    <row r="99" spans="1:6" x14ac:dyDescent="0.3">
      <c r="A99" s="50"/>
      <c r="B99" s="31">
        <v>562180</v>
      </c>
      <c r="C99" s="32" t="s">
        <v>173</v>
      </c>
      <c r="D99" s="53"/>
      <c r="E99" s="31">
        <v>766680</v>
      </c>
      <c r="F99" s="33" t="s">
        <v>173</v>
      </c>
    </row>
    <row r="100" spans="1:6" x14ac:dyDescent="0.3">
      <c r="A100" s="50"/>
      <c r="B100" s="31">
        <v>327060</v>
      </c>
      <c r="C100" s="32" t="s">
        <v>174</v>
      </c>
      <c r="D100" s="53"/>
      <c r="E100" s="31">
        <v>353380</v>
      </c>
      <c r="F100" s="33" t="s">
        <v>174</v>
      </c>
    </row>
    <row r="101" spans="1:6" x14ac:dyDescent="0.3">
      <c r="A101" s="50"/>
      <c r="B101" s="31">
        <v>216260</v>
      </c>
      <c r="C101" s="32" t="s">
        <v>177</v>
      </c>
      <c r="D101" s="53"/>
      <c r="E101" s="31">
        <v>267100</v>
      </c>
      <c r="F101" s="33" t="s">
        <v>177</v>
      </c>
    </row>
    <row r="102" spans="1:6" x14ac:dyDescent="0.3">
      <c r="A102" s="50"/>
      <c r="B102" s="31">
        <v>181100</v>
      </c>
      <c r="C102" s="32" t="s">
        <v>175</v>
      </c>
      <c r="D102" s="53"/>
      <c r="E102" s="31">
        <v>191040</v>
      </c>
      <c r="F102" s="33" t="s">
        <v>175</v>
      </c>
    </row>
    <row r="103" spans="1:6" x14ac:dyDescent="0.3">
      <c r="A103" s="50"/>
      <c r="B103" s="31">
        <v>143280</v>
      </c>
      <c r="C103" s="32" t="s">
        <v>176</v>
      </c>
      <c r="D103" s="53"/>
      <c r="E103" s="31">
        <v>160560</v>
      </c>
      <c r="F103" s="33" t="s">
        <v>180</v>
      </c>
    </row>
    <row r="104" spans="1:6" x14ac:dyDescent="0.3">
      <c r="A104" s="50"/>
      <c r="B104" s="31">
        <v>139640</v>
      </c>
      <c r="C104" s="32" t="s">
        <v>178</v>
      </c>
      <c r="D104" s="53"/>
      <c r="E104" s="31">
        <v>160140</v>
      </c>
      <c r="F104" s="33" t="s">
        <v>178</v>
      </c>
    </row>
    <row r="105" spans="1:6" x14ac:dyDescent="0.3">
      <c r="A105" s="50"/>
      <c r="B105" s="31">
        <v>129280</v>
      </c>
      <c r="C105" s="32" t="s">
        <v>179</v>
      </c>
      <c r="D105" s="53"/>
      <c r="E105" s="31">
        <v>146140</v>
      </c>
      <c r="F105" s="33" t="s">
        <v>176</v>
      </c>
    </row>
    <row r="106" spans="1:6" x14ac:dyDescent="0.3">
      <c r="A106" s="50"/>
      <c r="B106" s="31">
        <v>101860</v>
      </c>
      <c r="C106" s="32" t="s">
        <v>181</v>
      </c>
      <c r="D106" s="53"/>
      <c r="E106" s="31">
        <v>141020</v>
      </c>
      <c r="F106" s="33" t="s">
        <v>179</v>
      </c>
    </row>
    <row r="107" spans="1:6" ht="15" thickBot="1" x14ac:dyDescent="0.35">
      <c r="A107" s="51"/>
      <c r="B107" s="34">
        <v>90660</v>
      </c>
      <c r="C107" s="35" t="s">
        <v>182</v>
      </c>
      <c r="D107" s="54"/>
      <c r="E107" s="34">
        <v>115380</v>
      </c>
      <c r="F107" s="37" t="s">
        <v>184</v>
      </c>
    </row>
  </sheetData>
  <mergeCells count="6">
    <mergeCell ref="A98:A107"/>
    <mergeCell ref="D98:D107"/>
    <mergeCell ref="A11:A12"/>
    <mergeCell ref="B11:B12"/>
    <mergeCell ref="C11:C12"/>
    <mergeCell ref="G11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9601E-DF7D-4898-B008-70325DCFAEF6}">
  <dimension ref="A1:E78"/>
  <sheetViews>
    <sheetView workbookViewId="0">
      <selection activeCell="F79" sqref="F79"/>
    </sheetView>
  </sheetViews>
  <sheetFormatPr defaultRowHeight="14.4" x14ac:dyDescent="0.3"/>
  <cols>
    <col min="1" max="1" width="16.77734375" customWidth="1"/>
    <col min="2" max="2" width="20.77734375" customWidth="1"/>
    <col min="3" max="10" width="16.77734375" customWidth="1"/>
  </cols>
  <sheetData>
    <row r="1" spans="1:5" ht="24" x14ac:dyDescent="0.5">
      <c r="A1" s="44" t="s">
        <v>186</v>
      </c>
    </row>
    <row r="3" spans="1:5" ht="15" thickBot="1" x14ac:dyDescent="0.35"/>
    <row r="4" spans="1:5" x14ac:dyDescent="0.3">
      <c r="A4" s="61" t="s">
        <v>6</v>
      </c>
      <c r="B4" s="62" t="s">
        <v>7</v>
      </c>
      <c r="C4" s="62" t="s">
        <v>187</v>
      </c>
      <c r="D4" s="62" t="s">
        <v>188</v>
      </c>
      <c r="E4" s="70" t="s">
        <v>189</v>
      </c>
    </row>
    <row r="5" spans="1:5" ht="15" thickBot="1" x14ac:dyDescent="0.35">
      <c r="A5" s="51"/>
      <c r="B5" s="54"/>
      <c r="C5" s="54"/>
      <c r="D5" s="54"/>
      <c r="E5" s="74"/>
    </row>
    <row r="6" spans="1:5" x14ac:dyDescent="0.3">
      <c r="A6" s="67" t="s">
        <v>21</v>
      </c>
      <c r="B6" s="39" t="s">
        <v>22</v>
      </c>
      <c r="C6" s="38">
        <v>18561326</v>
      </c>
      <c r="D6" s="38">
        <v>18458818</v>
      </c>
      <c r="E6" s="73">
        <f>C6+D6</f>
        <v>37020144</v>
      </c>
    </row>
    <row r="7" spans="1:5" x14ac:dyDescent="0.3">
      <c r="A7" s="65" t="s">
        <v>23</v>
      </c>
      <c r="B7" s="32" t="s">
        <v>24</v>
      </c>
      <c r="C7" s="31">
        <v>15575482</v>
      </c>
      <c r="D7" s="31">
        <v>15616148</v>
      </c>
      <c r="E7" s="71">
        <f t="shared" ref="E7:E70" si="0">C7+D7</f>
        <v>31191630</v>
      </c>
    </row>
    <row r="8" spans="1:5" x14ac:dyDescent="0.3">
      <c r="A8" s="65" t="s">
        <v>25</v>
      </c>
      <c r="B8" s="32" t="s">
        <v>26</v>
      </c>
      <c r="C8" s="31">
        <v>18610059</v>
      </c>
      <c r="D8" s="31">
        <v>18512429</v>
      </c>
      <c r="E8" s="71">
        <f t="shared" si="0"/>
        <v>37122488</v>
      </c>
    </row>
    <row r="9" spans="1:5" x14ac:dyDescent="0.3">
      <c r="A9" s="65" t="s">
        <v>27</v>
      </c>
      <c r="B9" s="32" t="s">
        <v>28</v>
      </c>
      <c r="C9" s="31">
        <v>16587901</v>
      </c>
      <c r="D9" s="31">
        <v>16852874</v>
      </c>
      <c r="E9" s="71">
        <f t="shared" si="0"/>
        <v>33440775</v>
      </c>
    </row>
    <row r="10" spans="1:5" x14ac:dyDescent="0.3">
      <c r="A10" s="65" t="s">
        <v>29</v>
      </c>
      <c r="B10" s="32" t="s">
        <v>30</v>
      </c>
      <c r="C10" s="31">
        <v>15880209</v>
      </c>
      <c r="D10" s="31">
        <v>15785680</v>
      </c>
      <c r="E10" s="71">
        <f t="shared" si="0"/>
        <v>31665889</v>
      </c>
    </row>
    <row r="11" spans="1:5" x14ac:dyDescent="0.3">
      <c r="A11" s="65" t="s">
        <v>31</v>
      </c>
      <c r="B11" s="32" t="s">
        <v>32</v>
      </c>
      <c r="C11" s="31">
        <v>20467978</v>
      </c>
      <c r="D11" s="31">
        <v>20471833</v>
      </c>
      <c r="E11" s="71">
        <f t="shared" si="0"/>
        <v>40939811</v>
      </c>
    </row>
    <row r="12" spans="1:5" x14ac:dyDescent="0.3">
      <c r="A12" s="65" t="s">
        <v>33</v>
      </c>
      <c r="B12" s="32" t="s">
        <v>34</v>
      </c>
      <c r="C12" s="31">
        <v>18138775</v>
      </c>
      <c r="D12" s="31">
        <v>17910440</v>
      </c>
      <c r="E12" s="71">
        <f t="shared" si="0"/>
        <v>36049215</v>
      </c>
    </row>
    <row r="13" spans="1:5" x14ac:dyDescent="0.3">
      <c r="A13" s="65" t="s">
        <v>35</v>
      </c>
      <c r="B13" s="32" t="s">
        <v>36</v>
      </c>
      <c r="C13" s="31">
        <v>21920439</v>
      </c>
      <c r="D13" s="31">
        <v>21784770</v>
      </c>
      <c r="E13" s="71">
        <f t="shared" si="0"/>
        <v>43705209</v>
      </c>
    </row>
    <row r="14" spans="1:5" x14ac:dyDescent="0.3">
      <c r="A14" s="65" t="s">
        <v>37</v>
      </c>
      <c r="B14" s="32" t="s">
        <v>38</v>
      </c>
      <c r="C14" s="31">
        <v>17310769</v>
      </c>
      <c r="D14" s="31">
        <v>17174379</v>
      </c>
      <c r="E14" s="71">
        <f t="shared" si="0"/>
        <v>34485148</v>
      </c>
    </row>
    <row r="15" spans="1:5" x14ac:dyDescent="0.3">
      <c r="A15" s="65" t="s">
        <v>39</v>
      </c>
      <c r="B15" s="32" t="s">
        <v>40</v>
      </c>
      <c r="C15" s="31">
        <v>17718381</v>
      </c>
      <c r="D15" s="31">
        <v>17720512</v>
      </c>
      <c r="E15" s="71">
        <f t="shared" si="0"/>
        <v>35438893</v>
      </c>
    </row>
    <row r="16" spans="1:5" x14ac:dyDescent="0.3">
      <c r="A16" s="65" t="s">
        <v>41</v>
      </c>
      <c r="B16" s="32" t="s">
        <v>42</v>
      </c>
      <c r="C16" s="31">
        <v>12641723</v>
      </c>
      <c r="D16" s="31">
        <v>23207726</v>
      </c>
      <c r="E16" s="71">
        <f t="shared" si="0"/>
        <v>35849449</v>
      </c>
    </row>
    <row r="17" spans="1:5" x14ac:dyDescent="0.3">
      <c r="A17" s="65" t="s">
        <v>43</v>
      </c>
      <c r="B17" s="32" t="s">
        <v>44</v>
      </c>
      <c r="C17" s="31">
        <v>17453648</v>
      </c>
      <c r="D17" s="31">
        <v>17392081</v>
      </c>
      <c r="E17" s="71">
        <f t="shared" si="0"/>
        <v>34845729</v>
      </c>
    </row>
    <row r="18" spans="1:5" x14ac:dyDescent="0.3">
      <c r="A18" s="65" t="s">
        <v>45</v>
      </c>
      <c r="B18" s="32" t="s">
        <v>46</v>
      </c>
      <c r="C18" s="31">
        <v>17415815</v>
      </c>
      <c r="D18" s="31">
        <v>17396571</v>
      </c>
      <c r="E18" s="71">
        <f t="shared" si="0"/>
        <v>34812386</v>
      </c>
    </row>
    <row r="19" spans="1:5" x14ac:dyDescent="0.3">
      <c r="A19" s="65" t="s">
        <v>47</v>
      </c>
      <c r="B19" s="32" t="s">
        <v>48</v>
      </c>
      <c r="C19" s="31">
        <v>17538014</v>
      </c>
      <c r="D19" s="31">
        <v>17570608</v>
      </c>
      <c r="E19" s="71">
        <f t="shared" si="0"/>
        <v>35108622</v>
      </c>
    </row>
    <row r="20" spans="1:5" x14ac:dyDescent="0.3">
      <c r="A20" s="65" t="s">
        <v>49</v>
      </c>
      <c r="B20" s="32" t="s">
        <v>50</v>
      </c>
      <c r="C20" s="31">
        <v>16475251</v>
      </c>
      <c r="D20" s="31">
        <v>16347728</v>
      </c>
      <c r="E20" s="71">
        <f t="shared" si="0"/>
        <v>32822979</v>
      </c>
    </row>
    <row r="21" spans="1:5" x14ac:dyDescent="0.3">
      <c r="A21" s="65" t="s">
        <v>51</v>
      </c>
      <c r="B21" s="32" t="s">
        <v>52</v>
      </c>
      <c r="C21" s="31">
        <v>18299774</v>
      </c>
      <c r="D21" s="31">
        <v>18124804</v>
      </c>
      <c r="E21" s="71">
        <f t="shared" si="0"/>
        <v>36424578</v>
      </c>
    </row>
    <row r="22" spans="1:5" x14ac:dyDescent="0.3">
      <c r="A22" s="65" t="s">
        <v>53</v>
      </c>
      <c r="B22" s="32" t="s">
        <v>54</v>
      </c>
      <c r="C22" s="31">
        <v>19313767</v>
      </c>
      <c r="D22" s="31">
        <v>19296844</v>
      </c>
      <c r="E22" s="71">
        <f t="shared" si="0"/>
        <v>38610611</v>
      </c>
    </row>
    <row r="23" spans="1:5" x14ac:dyDescent="0.3">
      <c r="A23" s="65" t="s">
        <v>55</v>
      </c>
      <c r="B23" s="32" t="s">
        <v>56</v>
      </c>
      <c r="C23" s="31">
        <v>15474389</v>
      </c>
      <c r="D23" s="31">
        <v>15304692</v>
      </c>
      <c r="E23" s="71">
        <f t="shared" si="0"/>
        <v>30779081</v>
      </c>
    </row>
    <row r="24" spans="1:5" x14ac:dyDescent="0.3">
      <c r="A24" s="65" t="s">
        <v>57</v>
      </c>
      <c r="B24" s="32" t="s">
        <v>58</v>
      </c>
      <c r="C24" s="31">
        <v>16960310</v>
      </c>
      <c r="D24" s="31">
        <v>16686344</v>
      </c>
      <c r="E24" s="71">
        <f t="shared" si="0"/>
        <v>33646654</v>
      </c>
    </row>
    <row r="25" spans="1:5" x14ac:dyDescent="0.3">
      <c r="A25" s="65" t="s">
        <v>59</v>
      </c>
      <c r="B25" s="32" t="s">
        <v>60</v>
      </c>
      <c r="C25" s="31">
        <v>14236595</v>
      </c>
      <c r="D25" s="31">
        <v>18611155</v>
      </c>
      <c r="E25" s="71">
        <f t="shared" si="0"/>
        <v>32847750</v>
      </c>
    </row>
    <row r="26" spans="1:5" x14ac:dyDescent="0.3">
      <c r="A26" s="65" t="s">
        <v>61</v>
      </c>
      <c r="B26" s="32" t="s">
        <v>62</v>
      </c>
      <c r="C26" s="31">
        <v>14162070</v>
      </c>
      <c r="D26" s="31">
        <v>20009409</v>
      </c>
      <c r="E26" s="71">
        <f t="shared" si="0"/>
        <v>34171479</v>
      </c>
    </row>
    <row r="27" spans="1:5" x14ac:dyDescent="0.3">
      <c r="A27" s="65" t="s">
        <v>63</v>
      </c>
      <c r="B27" s="32" t="s">
        <v>64</v>
      </c>
      <c r="C27" s="31">
        <v>15982789</v>
      </c>
      <c r="D27" s="31">
        <v>16022971</v>
      </c>
      <c r="E27" s="71">
        <f t="shared" si="0"/>
        <v>32005760</v>
      </c>
    </row>
    <row r="28" spans="1:5" x14ac:dyDescent="0.3">
      <c r="A28" s="65" t="s">
        <v>65</v>
      </c>
      <c r="B28" s="32" t="s">
        <v>66</v>
      </c>
      <c r="C28" s="31">
        <v>18850105</v>
      </c>
      <c r="D28" s="31">
        <v>18684646</v>
      </c>
      <c r="E28" s="71">
        <f t="shared" si="0"/>
        <v>37534751</v>
      </c>
    </row>
    <row r="29" spans="1:5" x14ac:dyDescent="0.3">
      <c r="A29" s="65" t="s">
        <v>67</v>
      </c>
      <c r="B29" s="32" t="s">
        <v>68</v>
      </c>
      <c r="C29" s="31">
        <v>17652230</v>
      </c>
      <c r="D29" s="31">
        <v>17627654</v>
      </c>
      <c r="E29" s="71">
        <f t="shared" si="0"/>
        <v>35279884</v>
      </c>
    </row>
    <row r="30" spans="1:5" x14ac:dyDescent="0.3">
      <c r="A30" s="65" t="s">
        <v>69</v>
      </c>
      <c r="B30" s="32" t="s">
        <v>70</v>
      </c>
      <c r="C30" s="31">
        <v>19863189</v>
      </c>
      <c r="D30" s="31">
        <v>19724990</v>
      </c>
      <c r="E30" s="71">
        <f t="shared" si="0"/>
        <v>39588179</v>
      </c>
    </row>
    <row r="31" spans="1:5" x14ac:dyDescent="0.3">
      <c r="A31" s="65" t="s">
        <v>71</v>
      </c>
      <c r="B31" s="32" t="s">
        <v>72</v>
      </c>
      <c r="C31" s="31">
        <v>18357975</v>
      </c>
      <c r="D31" s="31">
        <v>18236444</v>
      </c>
      <c r="E31" s="71">
        <f t="shared" si="0"/>
        <v>36594419</v>
      </c>
    </row>
    <row r="32" spans="1:5" x14ac:dyDescent="0.3">
      <c r="A32" s="65" t="s">
        <v>73</v>
      </c>
      <c r="B32" s="32" t="s">
        <v>74</v>
      </c>
      <c r="C32" s="31">
        <v>14788958</v>
      </c>
      <c r="D32" s="31">
        <v>14842640</v>
      </c>
      <c r="E32" s="71">
        <f t="shared" si="0"/>
        <v>29631598</v>
      </c>
    </row>
    <row r="33" spans="1:5" x14ac:dyDescent="0.3">
      <c r="A33" s="65" t="s">
        <v>75</v>
      </c>
      <c r="B33" s="32" t="s">
        <v>76</v>
      </c>
      <c r="C33" s="31">
        <v>19798666</v>
      </c>
      <c r="D33" s="31">
        <v>19721760</v>
      </c>
      <c r="E33" s="71">
        <f t="shared" si="0"/>
        <v>39520426</v>
      </c>
    </row>
    <row r="34" spans="1:5" x14ac:dyDescent="0.3">
      <c r="A34" s="65" t="s">
        <v>77</v>
      </c>
      <c r="B34" s="32" t="s">
        <v>78</v>
      </c>
      <c r="C34" s="31">
        <v>17974880</v>
      </c>
      <c r="D34" s="31">
        <v>17827150</v>
      </c>
      <c r="E34" s="71">
        <f t="shared" si="0"/>
        <v>35802030</v>
      </c>
    </row>
    <row r="35" spans="1:5" x14ac:dyDescent="0.3">
      <c r="A35" s="65" t="s">
        <v>79</v>
      </c>
      <c r="B35" s="32" t="s">
        <v>80</v>
      </c>
      <c r="C35" s="31">
        <v>20452353</v>
      </c>
      <c r="D35" s="31">
        <v>20265043</v>
      </c>
      <c r="E35" s="71">
        <f t="shared" si="0"/>
        <v>40717396</v>
      </c>
    </row>
    <row r="36" spans="1:5" x14ac:dyDescent="0.3">
      <c r="A36" s="65" t="s">
        <v>81</v>
      </c>
      <c r="B36" s="32" t="s">
        <v>82</v>
      </c>
      <c r="C36" s="31">
        <v>20590799</v>
      </c>
      <c r="D36" s="31">
        <v>20389455</v>
      </c>
      <c r="E36" s="71">
        <f t="shared" si="0"/>
        <v>40980254</v>
      </c>
    </row>
    <row r="37" spans="1:5" x14ac:dyDescent="0.3">
      <c r="A37" s="65" t="s">
        <v>83</v>
      </c>
      <c r="B37" s="32" t="s">
        <v>84</v>
      </c>
      <c r="C37" s="31">
        <v>19843272</v>
      </c>
      <c r="D37" s="31">
        <v>19716964</v>
      </c>
      <c r="E37" s="71">
        <f t="shared" si="0"/>
        <v>39560236</v>
      </c>
    </row>
    <row r="38" spans="1:5" x14ac:dyDescent="0.3">
      <c r="A38" s="65" t="s">
        <v>85</v>
      </c>
      <c r="B38" s="32" t="s">
        <v>86</v>
      </c>
      <c r="C38" s="31">
        <v>15357376</v>
      </c>
      <c r="D38" s="31">
        <v>15197815</v>
      </c>
      <c r="E38" s="71">
        <f t="shared" si="0"/>
        <v>30555191</v>
      </c>
    </row>
    <row r="39" spans="1:5" x14ac:dyDescent="0.3">
      <c r="A39" s="65" t="s">
        <v>87</v>
      </c>
      <c r="B39" s="32" t="s">
        <v>88</v>
      </c>
      <c r="C39" s="31">
        <v>17045957</v>
      </c>
      <c r="D39" s="31">
        <v>17020741</v>
      </c>
      <c r="E39" s="71">
        <f t="shared" si="0"/>
        <v>34066698</v>
      </c>
    </row>
    <row r="40" spans="1:5" x14ac:dyDescent="0.3">
      <c r="A40" s="65" t="s">
        <v>89</v>
      </c>
      <c r="B40" s="32" t="s">
        <v>90</v>
      </c>
      <c r="C40" s="31">
        <v>17601604</v>
      </c>
      <c r="D40" s="31">
        <v>17337982</v>
      </c>
      <c r="E40" s="71">
        <f t="shared" si="0"/>
        <v>34939586</v>
      </c>
    </row>
    <row r="41" spans="1:5" x14ac:dyDescent="0.3">
      <c r="A41" s="65" t="s">
        <v>91</v>
      </c>
      <c r="B41" s="32" t="s">
        <v>92</v>
      </c>
      <c r="C41" s="31">
        <v>17178411</v>
      </c>
      <c r="D41" s="31">
        <v>17083371</v>
      </c>
      <c r="E41" s="71">
        <f t="shared" si="0"/>
        <v>34261782</v>
      </c>
    </row>
    <row r="42" spans="1:5" x14ac:dyDescent="0.3">
      <c r="A42" s="65" t="s">
        <v>93</v>
      </c>
      <c r="B42" s="32" t="s">
        <v>94</v>
      </c>
      <c r="C42" s="31">
        <v>18534653</v>
      </c>
      <c r="D42" s="31">
        <v>18585350</v>
      </c>
      <c r="E42" s="71">
        <f t="shared" si="0"/>
        <v>37120003</v>
      </c>
    </row>
    <row r="43" spans="1:5" x14ac:dyDescent="0.3">
      <c r="A43" s="65" t="s">
        <v>95</v>
      </c>
      <c r="B43" s="32" t="s">
        <v>96</v>
      </c>
      <c r="C43" s="31">
        <v>16520027</v>
      </c>
      <c r="D43" s="31">
        <v>16354513</v>
      </c>
      <c r="E43" s="71">
        <f t="shared" si="0"/>
        <v>32874540</v>
      </c>
    </row>
    <row r="44" spans="1:5" x14ac:dyDescent="0.3">
      <c r="A44" s="65" t="s">
        <v>97</v>
      </c>
      <c r="B44" s="32" t="s">
        <v>98</v>
      </c>
      <c r="C44" s="31">
        <v>16864229</v>
      </c>
      <c r="D44" s="31">
        <v>16522109</v>
      </c>
      <c r="E44" s="71">
        <f t="shared" si="0"/>
        <v>33386338</v>
      </c>
    </row>
    <row r="45" spans="1:5" x14ac:dyDescent="0.3">
      <c r="A45" s="65" t="s">
        <v>99</v>
      </c>
      <c r="B45" s="32" t="s">
        <v>100</v>
      </c>
      <c r="C45" s="31">
        <v>20140163</v>
      </c>
      <c r="D45" s="31">
        <v>20019434</v>
      </c>
      <c r="E45" s="71">
        <f t="shared" si="0"/>
        <v>40159597</v>
      </c>
    </row>
    <row r="46" spans="1:5" x14ac:dyDescent="0.3">
      <c r="A46" s="65" t="s">
        <v>101</v>
      </c>
      <c r="B46" s="32" t="s">
        <v>102</v>
      </c>
      <c r="C46" s="31">
        <v>19497348</v>
      </c>
      <c r="D46" s="31">
        <v>19451800</v>
      </c>
      <c r="E46" s="71">
        <f t="shared" si="0"/>
        <v>38949148</v>
      </c>
    </row>
    <row r="47" spans="1:5" x14ac:dyDescent="0.3">
      <c r="A47" s="65" t="s">
        <v>103</v>
      </c>
      <c r="B47" s="32" t="s">
        <v>104</v>
      </c>
      <c r="C47" s="31">
        <v>17943365</v>
      </c>
      <c r="D47" s="31">
        <v>17712697</v>
      </c>
      <c r="E47" s="71">
        <f t="shared" si="0"/>
        <v>35656062</v>
      </c>
    </row>
    <row r="48" spans="1:5" x14ac:dyDescent="0.3">
      <c r="A48" s="65" t="s">
        <v>105</v>
      </c>
      <c r="B48" s="32" t="s">
        <v>106</v>
      </c>
      <c r="C48" s="31">
        <v>18405042</v>
      </c>
      <c r="D48" s="31">
        <v>18298838</v>
      </c>
      <c r="E48" s="71">
        <f t="shared" si="0"/>
        <v>36703880</v>
      </c>
    </row>
    <row r="49" spans="1:5" x14ac:dyDescent="0.3">
      <c r="A49" s="65" t="s">
        <v>107</v>
      </c>
      <c r="B49" s="32" t="s">
        <v>108</v>
      </c>
      <c r="C49" s="31">
        <v>20963047</v>
      </c>
      <c r="D49" s="31">
        <v>20978567</v>
      </c>
      <c r="E49" s="71">
        <f t="shared" si="0"/>
        <v>41941614</v>
      </c>
    </row>
    <row r="50" spans="1:5" x14ac:dyDescent="0.3">
      <c r="A50" s="65" t="s">
        <v>109</v>
      </c>
      <c r="B50" s="32" t="s">
        <v>110</v>
      </c>
      <c r="C50" s="31">
        <v>16127564</v>
      </c>
      <c r="D50" s="31">
        <v>15994909</v>
      </c>
      <c r="E50" s="71">
        <f t="shared" si="0"/>
        <v>32122473</v>
      </c>
    </row>
    <row r="51" spans="1:5" x14ac:dyDescent="0.3">
      <c r="A51" s="65" t="s">
        <v>111</v>
      </c>
      <c r="B51" s="32" t="s">
        <v>112</v>
      </c>
      <c r="C51" s="31">
        <v>20136229</v>
      </c>
      <c r="D51" s="31">
        <v>20114575</v>
      </c>
      <c r="E51" s="71">
        <f t="shared" si="0"/>
        <v>40250804</v>
      </c>
    </row>
    <row r="52" spans="1:5" x14ac:dyDescent="0.3">
      <c r="A52" s="65" t="s">
        <v>113</v>
      </c>
      <c r="B52" s="32" t="s">
        <v>114</v>
      </c>
      <c r="C52" s="31">
        <v>17601277</v>
      </c>
      <c r="D52" s="31">
        <v>17357836</v>
      </c>
      <c r="E52" s="71">
        <f t="shared" si="0"/>
        <v>34959113</v>
      </c>
    </row>
    <row r="53" spans="1:5" x14ac:dyDescent="0.3">
      <c r="A53" s="65" t="s">
        <v>115</v>
      </c>
      <c r="B53" s="32" t="s">
        <v>116</v>
      </c>
      <c r="C53" s="31">
        <v>16760713</v>
      </c>
      <c r="D53" s="31">
        <v>16683448</v>
      </c>
      <c r="E53" s="71">
        <f t="shared" si="0"/>
        <v>33444161</v>
      </c>
    </row>
    <row r="54" spans="1:5" x14ac:dyDescent="0.3">
      <c r="A54" s="65" t="s">
        <v>117</v>
      </c>
      <c r="B54" s="32" t="s">
        <v>118</v>
      </c>
      <c r="C54" s="31">
        <v>15584867</v>
      </c>
      <c r="D54" s="31">
        <v>15587045</v>
      </c>
      <c r="E54" s="71">
        <f t="shared" si="0"/>
        <v>31171912</v>
      </c>
    </row>
    <row r="55" spans="1:5" x14ac:dyDescent="0.3">
      <c r="A55" s="65" t="s">
        <v>119</v>
      </c>
      <c r="B55" s="32" t="s">
        <v>120</v>
      </c>
      <c r="C55" s="31">
        <v>19335483</v>
      </c>
      <c r="D55" s="31">
        <v>19250850</v>
      </c>
      <c r="E55" s="71">
        <f t="shared" si="0"/>
        <v>38586333</v>
      </c>
    </row>
    <row r="56" spans="1:5" x14ac:dyDescent="0.3">
      <c r="A56" s="65" t="s">
        <v>121</v>
      </c>
      <c r="B56" s="32" t="s">
        <v>122</v>
      </c>
      <c r="C56" s="31">
        <v>16446826</v>
      </c>
      <c r="D56" s="31">
        <v>16356344</v>
      </c>
      <c r="E56" s="71">
        <f t="shared" si="0"/>
        <v>32803170</v>
      </c>
    </row>
    <row r="57" spans="1:5" x14ac:dyDescent="0.3">
      <c r="A57" s="65" t="s">
        <v>123</v>
      </c>
      <c r="B57" s="32" t="s">
        <v>124</v>
      </c>
      <c r="C57" s="31">
        <v>18256580</v>
      </c>
      <c r="D57" s="31">
        <v>18008248</v>
      </c>
      <c r="E57" s="71">
        <f t="shared" si="0"/>
        <v>36264828</v>
      </c>
    </row>
    <row r="58" spans="1:5" x14ac:dyDescent="0.3">
      <c r="A58" s="65" t="s">
        <v>125</v>
      </c>
      <c r="B58" s="32" t="s">
        <v>126</v>
      </c>
      <c r="C58" s="31">
        <v>16959467</v>
      </c>
      <c r="D58" s="31">
        <v>16888271</v>
      </c>
      <c r="E58" s="71">
        <f t="shared" si="0"/>
        <v>33847738</v>
      </c>
    </row>
    <row r="59" spans="1:5" x14ac:dyDescent="0.3">
      <c r="A59" s="65" t="s">
        <v>127</v>
      </c>
      <c r="B59" s="32" t="s">
        <v>128</v>
      </c>
      <c r="C59" s="31">
        <v>16644636</v>
      </c>
      <c r="D59" s="31">
        <v>16446692</v>
      </c>
      <c r="E59" s="71">
        <f t="shared" si="0"/>
        <v>33091328</v>
      </c>
    </row>
    <row r="60" spans="1:5" x14ac:dyDescent="0.3">
      <c r="A60" s="65" t="s">
        <v>129</v>
      </c>
      <c r="B60" s="32" t="s">
        <v>130</v>
      </c>
      <c r="C60" s="31">
        <v>16837363</v>
      </c>
      <c r="D60" s="31">
        <v>16751759</v>
      </c>
      <c r="E60" s="71">
        <f t="shared" si="0"/>
        <v>33589122</v>
      </c>
    </row>
    <row r="61" spans="1:5" x14ac:dyDescent="0.3">
      <c r="A61" s="65" t="s">
        <v>131</v>
      </c>
      <c r="B61" s="32" t="s">
        <v>132</v>
      </c>
      <c r="C61" s="31">
        <v>17184768</v>
      </c>
      <c r="D61" s="31">
        <v>17167078</v>
      </c>
      <c r="E61" s="71">
        <f t="shared" si="0"/>
        <v>34351846</v>
      </c>
    </row>
    <row r="62" spans="1:5" x14ac:dyDescent="0.3">
      <c r="A62" s="65" t="s">
        <v>133</v>
      </c>
      <c r="B62" s="32" t="s">
        <v>134</v>
      </c>
      <c r="C62" s="31">
        <v>16859234</v>
      </c>
      <c r="D62" s="31">
        <v>16843530</v>
      </c>
      <c r="E62" s="71">
        <f t="shared" si="0"/>
        <v>33702764</v>
      </c>
    </row>
    <row r="63" spans="1:5" x14ac:dyDescent="0.3">
      <c r="A63" s="65" t="s">
        <v>135</v>
      </c>
      <c r="B63" s="32" t="s">
        <v>136</v>
      </c>
      <c r="C63" s="31">
        <v>14284041</v>
      </c>
      <c r="D63" s="31">
        <v>18332667</v>
      </c>
      <c r="E63" s="71">
        <f t="shared" si="0"/>
        <v>32616708</v>
      </c>
    </row>
    <row r="64" spans="1:5" x14ac:dyDescent="0.3">
      <c r="A64" s="65" t="s">
        <v>137</v>
      </c>
      <c r="B64" s="32" t="s">
        <v>138</v>
      </c>
      <c r="C64" s="31">
        <v>18177170</v>
      </c>
      <c r="D64" s="31">
        <v>18196887</v>
      </c>
      <c r="E64" s="71">
        <f t="shared" si="0"/>
        <v>36374057</v>
      </c>
    </row>
    <row r="65" spans="1:5" x14ac:dyDescent="0.3">
      <c r="A65" s="65" t="s">
        <v>139</v>
      </c>
      <c r="B65" s="32" t="s">
        <v>140</v>
      </c>
      <c r="C65" s="31">
        <v>17810981</v>
      </c>
      <c r="D65" s="31">
        <v>17745116</v>
      </c>
      <c r="E65" s="71">
        <f t="shared" si="0"/>
        <v>35556097</v>
      </c>
    </row>
    <row r="66" spans="1:5" x14ac:dyDescent="0.3">
      <c r="A66" s="65" t="s">
        <v>141</v>
      </c>
      <c r="B66" s="32" t="s">
        <v>142</v>
      </c>
      <c r="C66" s="31">
        <v>15204708</v>
      </c>
      <c r="D66" s="31">
        <v>15071169</v>
      </c>
      <c r="E66" s="71">
        <f t="shared" si="0"/>
        <v>30275877</v>
      </c>
    </row>
    <row r="67" spans="1:5" x14ac:dyDescent="0.3">
      <c r="A67" s="65" t="s">
        <v>143</v>
      </c>
      <c r="B67" s="32" t="s">
        <v>144</v>
      </c>
      <c r="C67" s="31">
        <v>18642947</v>
      </c>
      <c r="D67" s="31">
        <v>18480126</v>
      </c>
      <c r="E67" s="71">
        <f t="shared" si="0"/>
        <v>37123073</v>
      </c>
    </row>
    <row r="68" spans="1:5" x14ac:dyDescent="0.3">
      <c r="A68" s="65" t="s">
        <v>145</v>
      </c>
      <c r="B68" s="32" t="s">
        <v>146</v>
      </c>
      <c r="C68" s="31">
        <v>17041036</v>
      </c>
      <c r="D68" s="31">
        <v>16956650</v>
      </c>
      <c r="E68" s="71">
        <f t="shared" si="0"/>
        <v>33997686</v>
      </c>
    </row>
    <row r="69" spans="1:5" x14ac:dyDescent="0.3">
      <c r="A69" s="65" t="s">
        <v>147</v>
      </c>
      <c r="B69" s="32" t="s">
        <v>148</v>
      </c>
      <c r="C69" s="31">
        <v>18905841</v>
      </c>
      <c r="D69" s="31">
        <v>18807781</v>
      </c>
      <c r="E69" s="71">
        <f t="shared" si="0"/>
        <v>37713622</v>
      </c>
    </row>
    <row r="70" spans="1:5" x14ac:dyDescent="0.3">
      <c r="A70" s="65" t="s">
        <v>149</v>
      </c>
      <c r="B70" s="32" t="s">
        <v>150</v>
      </c>
      <c r="C70" s="31">
        <v>19993490</v>
      </c>
      <c r="D70" s="31">
        <v>20186473</v>
      </c>
      <c r="E70" s="71">
        <f t="shared" si="0"/>
        <v>40179963</v>
      </c>
    </row>
    <row r="71" spans="1:5" x14ac:dyDescent="0.3">
      <c r="A71" s="65" t="s">
        <v>151</v>
      </c>
      <c r="B71" s="32" t="s">
        <v>152</v>
      </c>
      <c r="C71" s="31">
        <v>15955043</v>
      </c>
      <c r="D71" s="31">
        <v>15840016</v>
      </c>
      <c r="E71" s="71">
        <f t="shared" ref="E71:E77" si="1">C71+D71</f>
        <v>31795059</v>
      </c>
    </row>
    <row r="72" spans="1:5" x14ac:dyDescent="0.3">
      <c r="A72" s="65" t="s">
        <v>153</v>
      </c>
      <c r="B72" s="32" t="s">
        <v>154</v>
      </c>
      <c r="C72" s="31">
        <v>17761530</v>
      </c>
      <c r="D72" s="31">
        <v>17683097</v>
      </c>
      <c r="E72" s="71">
        <f t="shared" si="1"/>
        <v>35444627</v>
      </c>
    </row>
    <row r="73" spans="1:5" x14ac:dyDescent="0.3">
      <c r="A73" s="65" t="s">
        <v>155</v>
      </c>
      <c r="B73" s="32" t="s">
        <v>156</v>
      </c>
      <c r="C73" s="31">
        <v>18621428</v>
      </c>
      <c r="D73" s="31">
        <v>18557241</v>
      </c>
      <c r="E73" s="71">
        <f t="shared" si="1"/>
        <v>37178669</v>
      </c>
    </row>
    <row r="74" spans="1:5" x14ac:dyDescent="0.3">
      <c r="A74" s="65" t="s">
        <v>157</v>
      </c>
      <c r="B74" s="32" t="s">
        <v>158</v>
      </c>
      <c r="C74" s="31">
        <v>20124388</v>
      </c>
      <c r="D74" s="31">
        <v>20078740</v>
      </c>
      <c r="E74" s="71">
        <f t="shared" si="1"/>
        <v>40203128</v>
      </c>
    </row>
    <row r="75" spans="1:5" x14ac:dyDescent="0.3">
      <c r="A75" s="65" t="s">
        <v>159</v>
      </c>
      <c r="B75" s="32" t="s">
        <v>160</v>
      </c>
      <c r="C75" s="31">
        <v>18987760</v>
      </c>
      <c r="D75" s="31">
        <v>18907613</v>
      </c>
      <c r="E75" s="71">
        <f t="shared" si="1"/>
        <v>37895373</v>
      </c>
    </row>
    <row r="76" spans="1:5" x14ac:dyDescent="0.3">
      <c r="A76" s="65" t="s">
        <v>161</v>
      </c>
      <c r="B76" s="32" t="s">
        <v>162</v>
      </c>
      <c r="C76" s="31">
        <v>15650745</v>
      </c>
      <c r="D76" s="31">
        <v>15608180</v>
      </c>
      <c r="E76" s="71">
        <f t="shared" si="1"/>
        <v>31258925</v>
      </c>
    </row>
    <row r="77" spans="1:5" ht="15" thickBot="1" x14ac:dyDescent="0.35">
      <c r="A77" s="66" t="s">
        <v>163</v>
      </c>
      <c r="B77" s="35" t="s">
        <v>164</v>
      </c>
      <c r="C77" s="34">
        <v>19892880</v>
      </c>
      <c r="D77" s="34">
        <v>19811713</v>
      </c>
      <c r="E77" s="72">
        <f t="shared" si="1"/>
        <v>39704593</v>
      </c>
    </row>
    <row r="78" spans="1:5" x14ac:dyDescent="0.3">
      <c r="B78" s="11" t="s">
        <v>168</v>
      </c>
      <c r="C78" s="10">
        <f>SUM(C6:C77)</f>
        <v>1272738108</v>
      </c>
      <c r="D78" s="10">
        <f>SUM(D6:D77)</f>
        <v>1291572833</v>
      </c>
      <c r="E78" s="10">
        <f>SUM(E6:E77)</f>
        <v>2564310941</v>
      </c>
    </row>
  </sheetData>
  <mergeCells count="5">
    <mergeCell ref="E4:E5"/>
    <mergeCell ref="A4:A5"/>
    <mergeCell ref="B4:B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rum1</vt:lpstr>
      <vt:lpstr>run2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Merritt</dc:creator>
  <cp:lastModifiedBy>David Merritt</cp:lastModifiedBy>
  <dcterms:created xsi:type="dcterms:W3CDTF">2024-08-14T20:50:50Z</dcterms:created>
  <dcterms:modified xsi:type="dcterms:W3CDTF">2024-08-19T23:47:01Z</dcterms:modified>
</cp:coreProperties>
</file>